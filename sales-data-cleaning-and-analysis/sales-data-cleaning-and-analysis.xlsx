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Downloads\"/>
    </mc:Choice>
  </mc:AlternateContent>
  <xr:revisionPtr revIDLastSave="0" documentId="13_ncr:1_{8E91B216-50E2-4419-90D9-B5CD7050249D}" xr6:coauthVersionLast="47" xr6:coauthVersionMax="47" xr10:uidLastSave="{00000000-0000-0000-0000-000000000000}"/>
  <bookViews>
    <workbookView xWindow="-108" yWindow="-108" windowWidth="23256" windowHeight="13176" xr2:uid="{00000000-000D-0000-FFFF-FFFF00000000}"/>
  </bookViews>
  <sheets>
    <sheet name="Raw_Data" sheetId="6" r:id="rId1"/>
    <sheet name="Cleaned_Data" sheetId="1" r:id="rId2"/>
    <sheet name="Pivot_Analysis" sheetId="3" r:id="rId3"/>
    <sheet name="Dashboard" sheetId="5" r:id="rId4"/>
    <sheet name="Cleaning_Steps" sheetId="8" r:id="rId5"/>
  </sheets>
  <definedNames>
    <definedName name="Slicer_Category">#N/A</definedName>
    <definedName name="Slicer_Department">#N/A</definedName>
    <definedName name="Slicer_Region">#N/A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L2" i="1" l="1"/>
  <c r="M2" i="1" s="1"/>
  <c r="L3" i="1"/>
  <c r="M3" i="1" s="1"/>
  <c r="L4" i="1"/>
  <c r="M4" i="1" s="1"/>
  <c r="L5" i="1"/>
  <c r="M5" i="1" s="1"/>
  <c r="L6" i="1"/>
  <c r="M6" i="1" s="1"/>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E2" i="5"/>
  <c r="H2" i="5"/>
  <c r="K2" i="5"/>
  <c r="B2" i="5"/>
</calcChain>
</file>

<file path=xl/sharedStrings.xml><?xml version="1.0" encoding="utf-8"?>
<sst xmlns="http://schemas.openxmlformats.org/spreadsheetml/2006/main" count="683" uniqueCount="357">
  <si>
    <t>TransactionID</t>
  </si>
  <si>
    <t>Date</t>
  </si>
  <si>
    <t>Department</t>
  </si>
  <si>
    <t>Category</t>
  </si>
  <si>
    <t>ProductName</t>
  </si>
  <si>
    <t>Region</t>
  </si>
  <si>
    <t>SalesPerson</t>
  </si>
  <si>
    <t>UnitsSold</t>
  </si>
  <si>
    <t>UnitPrice</t>
  </si>
  <si>
    <t>Revenue</t>
  </si>
  <si>
    <t>Cost</t>
  </si>
  <si>
    <t>Profit</t>
  </si>
  <si>
    <t>T001</t>
  </si>
  <si>
    <t>2024-01-02</t>
  </si>
  <si>
    <t>Sales</t>
  </si>
  <si>
    <t>Electronics</t>
  </si>
  <si>
    <t>Laptop Pro 14</t>
  </si>
  <si>
    <t>North</t>
  </si>
  <si>
    <t>Rahul</t>
  </si>
  <si>
    <t>T002</t>
  </si>
  <si>
    <t>2024-01-03</t>
  </si>
  <si>
    <t>Accessories</t>
  </si>
  <si>
    <t>Wireless Mouse</t>
  </si>
  <si>
    <t>South</t>
  </si>
  <si>
    <t>Anita</t>
  </si>
  <si>
    <t>T003</t>
  </si>
  <si>
    <t>2024-01-04</t>
  </si>
  <si>
    <t>Marketing</t>
  </si>
  <si>
    <t>Office Supplies</t>
  </si>
  <si>
    <t>Notebook A4</t>
  </si>
  <si>
    <t>West</t>
  </si>
  <si>
    <t>Vikas</t>
  </si>
  <si>
    <t>T004</t>
  </si>
  <si>
    <t>2024-01-05</t>
  </si>
  <si>
    <t>Operations</t>
  </si>
  <si>
    <t>Desktop i5</t>
  </si>
  <si>
    <t>East</t>
  </si>
  <si>
    <t>Suman</t>
  </si>
  <si>
    <t>T005</t>
  </si>
  <si>
    <t>2024-01-06</t>
  </si>
  <si>
    <t>USB-C Hub</t>
  </si>
  <si>
    <t>Neha</t>
  </si>
  <si>
    <t>T006</t>
  </si>
  <si>
    <t>2024-01-07</t>
  </si>
  <si>
    <t>IT</t>
  </si>
  <si>
    <t>Network Router</t>
  </si>
  <si>
    <t>Amit</t>
  </si>
  <si>
    <t>T007</t>
  </si>
  <si>
    <t>2024-01-08</t>
  </si>
  <si>
    <t>Customer Support</t>
  </si>
  <si>
    <t>Wired Headset</t>
  </si>
  <si>
    <t>Priya</t>
  </si>
  <si>
    <t>T008</t>
  </si>
  <si>
    <t>2024-01-09</t>
  </si>
  <si>
    <t>Tablet Air</t>
  </si>
  <si>
    <t>Arjun</t>
  </si>
  <si>
    <t>T009</t>
  </si>
  <si>
    <t>2024-01-10</t>
  </si>
  <si>
    <t>Pen Drive 64GB</t>
  </si>
  <si>
    <t>Kiran</t>
  </si>
  <si>
    <t>T010</t>
  </si>
  <si>
    <t>2024-01-11</t>
  </si>
  <si>
    <t>Office Chair</t>
  </si>
  <si>
    <t>Ramesh</t>
  </si>
  <si>
    <t>T011</t>
  </si>
  <si>
    <t>2024-01-12</t>
  </si>
  <si>
    <t>Smartphone X</t>
  </si>
  <si>
    <t>T012</t>
  </si>
  <si>
    <t>2024-01-13</t>
  </si>
  <si>
    <t>Bluetooth Keyboard</t>
  </si>
  <si>
    <t>T013</t>
  </si>
  <si>
    <t>2024-01-14</t>
  </si>
  <si>
    <t>Sticky Notes Pack</t>
  </si>
  <si>
    <t>T014</t>
  </si>
  <si>
    <t>2024-01-15</t>
  </si>
  <si>
    <t>Barcode Scanner</t>
  </si>
  <si>
    <t>T015</t>
  </si>
  <si>
    <t>2024-01-16</t>
  </si>
  <si>
    <t>LAN Cable 10m</t>
  </si>
  <si>
    <t>T016</t>
  </si>
  <si>
    <t>2024-01-17</t>
  </si>
  <si>
    <t>Mouse Pad</t>
  </si>
  <si>
    <t>T017</t>
  </si>
  <si>
    <t>2024-01-18</t>
  </si>
  <si>
    <t>Monitor 27inch</t>
  </si>
  <si>
    <t>T018</t>
  </si>
  <si>
    <t>2024-01-19</t>
  </si>
  <si>
    <t>Webcam HD</t>
  </si>
  <si>
    <t>T019</t>
  </si>
  <si>
    <t>2024-01-20</t>
  </si>
  <si>
    <t>Filing Cabinet</t>
  </si>
  <si>
    <t>T020</t>
  </si>
  <si>
    <t>2024-01-21</t>
  </si>
  <si>
    <t>Power Bank</t>
  </si>
  <si>
    <t>T021</t>
  </si>
  <si>
    <t>2024-01-22</t>
  </si>
  <si>
    <t>Firewall Appliance</t>
  </si>
  <si>
    <t>T022</t>
  </si>
  <si>
    <t>2024-01-23</t>
  </si>
  <si>
    <t>Noise Cancelling Headset</t>
  </si>
  <si>
    <t>T023</t>
  </si>
  <si>
    <t>2024-01-24</t>
  </si>
  <si>
    <t>Desk Organizer</t>
  </si>
  <si>
    <t>T024</t>
  </si>
  <si>
    <t>2024-01-25</t>
  </si>
  <si>
    <t>Smart Display</t>
  </si>
  <si>
    <t>T025</t>
  </si>
  <si>
    <t>2024-01-26</t>
  </si>
  <si>
    <t>Cable Management Kit</t>
  </si>
  <si>
    <t>T026</t>
  </si>
  <si>
    <t>2024-01-27</t>
  </si>
  <si>
    <t>Laptop Air 13</t>
  </si>
  <si>
    <t>T027</t>
  </si>
  <si>
    <t>2024-01-28</t>
  </si>
  <si>
    <t>Server Rack Shelf</t>
  </si>
  <si>
    <t>T028</t>
  </si>
  <si>
    <t>2024-01-29</t>
  </si>
  <si>
    <t>USB Headset</t>
  </si>
  <si>
    <t>T029</t>
  </si>
  <si>
    <t>2024-01-30</t>
  </si>
  <si>
    <t>Whiteboard Markers</t>
  </si>
  <si>
    <t>T030</t>
  </si>
  <si>
    <t>2024-01-31</t>
  </si>
  <si>
    <t>Smartwatch Pro</t>
  </si>
  <si>
    <t>T031</t>
  </si>
  <si>
    <t>2024-02-01</t>
  </si>
  <si>
    <t>Wireless Charger</t>
  </si>
  <si>
    <t>T032</t>
  </si>
  <si>
    <t>2024-02-02</t>
  </si>
  <si>
    <t>POS Terminal</t>
  </si>
  <si>
    <t>T033</t>
  </si>
  <si>
    <t>2024-02-03</t>
  </si>
  <si>
    <t>Promotional USB</t>
  </si>
  <si>
    <t>T034</t>
  </si>
  <si>
    <t>2024-02-04</t>
  </si>
  <si>
    <t>Backup NAS</t>
  </si>
  <si>
    <t>T035</t>
  </si>
  <si>
    <t>2024-02-05</t>
  </si>
  <si>
    <t>Call Log Register</t>
  </si>
  <si>
    <t>T036</t>
  </si>
  <si>
    <t>2024-02-06</t>
  </si>
  <si>
    <t>Gaming Laptop</t>
  </si>
  <si>
    <t>T037</t>
  </si>
  <si>
    <t>2024-02-07</t>
  </si>
  <si>
    <t>Tool Kit</t>
  </si>
  <si>
    <t>T038</t>
  </si>
  <si>
    <t>2024-02-08</t>
  </si>
  <si>
    <t>Digital Signage Panel</t>
  </si>
  <si>
    <t>T039</t>
  </si>
  <si>
    <t>2024-02-09</t>
  </si>
  <si>
    <t>Printer Ink Cartridge</t>
  </si>
  <si>
    <t>T040</t>
  </si>
  <si>
    <t>2024-02-10</t>
  </si>
  <si>
    <t>SSD External 1TB</t>
  </si>
  <si>
    <t>Grand Total</t>
  </si>
  <si>
    <t>Department Revenue</t>
  </si>
  <si>
    <t>Month_start</t>
  </si>
  <si>
    <t>Jan</t>
  </si>
  <si>
    <t>Feb</t>
  </si>
  <si>
    <t>Profit by Category</t>
  </si>
  <si>
    <t>Revenue by Region</t>
  </si>
  <si>
    <t>Monthly Revenue Trend</t>
  </si>
  <si>
    <t>Departments</t>
  </si>
  <si>
    <t>Categories</t>
  </si>
  <si>
    <t>Month</t>
  </si>
  <si>
    <t>AVERAGE ORDER VALUE</t>
  </si>
  <si>
    <t>Total Profit</t>
  </si>
  <si>
    <t>Total Revenue</t>
  </si>
  <si>
    <t>Total Units Sold</t>
  </si>
  <si>
    <t>Total Unit Sold</t>
  </si>
  <si>
    <t>Avg Order Value</t>
  </si>
  <si>
    <t xml:space="preserve">TransactionID </t>
  </si>
  <si>
    <t xml:space="preserve"> Date </t>
  </si>
  <si>
    <t xml:space="preserve"> Month_start </t>
  </si>
  <si>
    <t xml:space="preserve"> Department </t>
  </si>
  <si>
    <t xml:space="preserve"> Category </t>
  </si>
  <si>
    <t xml:space="preserve"> ProductName </t>
  </si>
  <si>
    <t xml:space="preserve"> Region </t>
  </si>
  <si>
    <t xml:space="preserve"> SalesPerson </t>
  </si>
  <si>
    <t xml:space="preserve"> UnitsSold </t>
  </si>
  <si>
    <t xml:space="preserve"> UnitPrice </t>
  </si>
  <si>
    <t xml:space="preserve"> Revenue </t>
  </si>
  <si>
    <t xml:space="preserve"> Cost </t>
  </si>
  <si>
    <t xml:space="preserve"> Profit</t>
  </si>
  <si>
    <t xml:space="preserve">T001 </t>
  </si>
  <si>
    <t xml:space="preserve"> 02-01-2024 </t>
  </si>
  <si>
    <t xml:space="preserve"> sales </t>
  </si>
  <si>
    <t xml:space="preserve"> electronics </t>
  </si>
  <si>
    <t xml:space="preserve"> Laptop Pro 14 </t>
  </si>
  <si>
    <t xml:space="preserve"> NORTH </t>
  </si>
  <si>
    <t xml:space="preserve"> Rahul </t>
  </si>
  <si>
    <t xml:space="preserve"> "85000" </t>
  </si>
  <si>
    <t xml:space="preserve">T002 </t>
  </si>
  <si>
    <t xml:space="preserve"> 2024/01/03 </t>
  </si>
  <si>
    <t xml:space="preserve"> Sales </t>
  </si>
  <si>
    <t xml:space="preserve"> Accessories </t>
  </si>
  <si>
    <t xml:space="preserve"> Wireless Mouse </t>
  </si>
  <si>
    <t xml:space="preserve"> south </t>
  </si>
  <si>
    <t xml:space="preserve"> Anita </t>
  </si>
  <si>
    <t xml:space="preserve"> "12" </t>
  </si>
  <si>
    <t xml:space="preserve">T003 </t>
  </si>
  <si>
    <t xml:space="preserve"> Jan 4, 2024 </t>
  </si>
  <si>
    <t xml:space="preserve"> Marketing </t>
  </si>
  <si>
    <t xml:space="preserve"> Office supplies </t>
  </si>
  <si>
    <t xml:space="preserve"> Notebook A4 </t>
  </si>
  <si>
    <t xml:space="preserve"> West </t>
  </si>
  <si>
    <t xml:space="preserve"> Vikas </t>
  </si>
  <si>
    <t xml:space="preserve">T004 </t>
  </si>
  <si>
    <t xml:space="preserve"> 05-01-2024 </t>
  </si>
  <si>
    <t xml:space="preserve"> OPERATIONS </t>
  </si>
  <si>
    <t xml:space="preserve"> Electronics </t>
  </si>
  <si>
    <t xml:space="preserve"> Desktop i5 </t>
  </si>
  <si>
    <t xml:space="preserve"> East </t>
  </si>
  <si>
    <t xml:space="preserve"> Suman </t>
  </si>
  <si>
    <t xml:space="preserve">T005 </t>
  </si>
  <si>
    <t xml:space="preserve"> 2024-01-06 </t>
  </si>
  <si>
    <t xml:space="preserve"> accessories </t>
  </si>
  <si>
    <t xml:space="preserve"> USB-C Hub </t>
  </si>
  <si>
    <t xml:space="preserve"> North </t>
  </si>
  <si>
    <t xml:space="preserve">  </t>
  </si>
  <si>
    <t xml:space="preserve">T006 </t>
  </si>
  <si>
    <t xml:space="preserve"> 2024-01-07 </t>
  </si>
  <si>
    <t xml:space="preserve"> Smartphone X </t>
  </si>
  <si>
    <t xml:space="preserve"> north </t>
  </si>
  <si>
    <t xml:space="preserve">T007 </t>
  </si>
  <si>
    <t xml:space="preserve"> 07/01/2024 </t>
  </si>
  <si>
    <t xml:space="preserve"> Office Supplies </t>
  </si>
  <si>
    <t xml:space="preserve">T008 </t>
  </si>
  <si>
    <t xml:space="preserve"> Operations </t>
  </si>
  <si>
    <t xml:space="preserve">T009 </t>
  </si>
  <si>
    <t xml:space="preserve"> South </t>
  </si>
  <si>
    <t xml:space="preserve">T010 </t>
  </si>
  <si>
    <t xml:space="preserve"> 01 January 2024 </t>
  </si>
  <si>
    <t xml:space="preserve"> SOUTH </t>
  </si>
  <si>
    <t xml:space="preserve"> Network Router </t>
  </si>
  <si>
    <t xml:space="preserve"> IT </t>
  </si>
  <si>
    <t xml:space="preserve"> Wired Headset </t>
  </si>
  <si>
    <t xml:space="preserve"> east </t>
  </si>
  <si>
    <t xml:space="preserve"> Priya </t>
  </si>
  <si>
    <t xml:space="preserve"> "1500" </t>
  </si>
  <si>
    <t xml:space="preserve"> 2024-01-09 </t>
  </si>
  <si>
    <t xml:space="preserve"> Tablet Air </t>
  </si>
  <si>
    <t xml:space="preserve"> Arjun </t>
  </si>
  <si>
    <t xml:space="preserve"> Jan-10-2024 </t>
  </si>
  <si>
    <t xml:space="preserve"> Pen Drive 64GB </t>
  </si>
  <si>
    <t xml:space="preserve"> Kiran </t>
  </si>
  <si>
    <t xml:space="preserve"> 2024-01-11 </t>
  </si>
  <si>
    <t xml:space="preserve"> Office Chair </t>
  </si>
  <si>
    <t xml:space="preserve"> Ramesh </t>
  </si>
  <si>
    <t xml:space="preserve">T011 </t>
  </si>
  <si>
    <t xml:space="preserve"> 2024-01-12 </t>
  </si>
  <si>
    <t xml:space="preserve">T012 </t>
  </si>
  <si>
    <t xml:space="preserve"> 2024-01-13 </t>
  </si>
  <si>
    <t xml:space="preserve"> Bluetooth Keyboard </t>
  </si>
  <si>
    <t xml:space="preserve">T013 </t>
  </si>
  <si>
    <t xml:space="preserve"> Jan 14 2024 </t>
  </si>
  <si>
    <t xml:space="preserve"> Sticky Notes Pack </t>
  </si>
  <si>
    <t xml:space="preserve">T014 </t>
  </si>
  <si>
    <t xml:space="preserve"> 2024/01/15 </t>
  </si>
  <si>
    <t xml:space="preserve"> operations </t>
  </si>
  <si>
    <t xml:space="preserve"> Barcode Scanner </t>
  </si>
  <si>
    <t xml:space="preserve">T015 </t>
  </si>
  <si>
    <t xml:space="preserve"> 2024-01-16 </t>
  </si>
  <si>
    <t xml:space="preserve"> LAN Cable 10m </t>
  </si>
  <si>
    <t xml:space="preserve"> Amit </t>
  </si>
  <si>
    <t xml:space="preserve">T016 </t>
  </si>
  <si>
    <t xml:space="preserve"> 17-01-2024 </t>
  </si>
  <si>
    <t xml:space="preserve"> Customer Support </t>
  </si>
  <si>
    <t xml:space="preserve"> Mouse Pad </t>
  </si>
  <si>
    <t xml:space="preserve"> west </t>
  </si>
  <si>
    <t xml:space="preserve">T017 </t>
  </si>
  <si>
    <t xml:space="preserve"> 2024-01-18 </t>
  </si>
  <si>
    <t xml:space="preserve"> Monitor 27inch </t>
  </si>
  <si>
    <t xml:space="preserve"> Neha </t>
  </si>
  <si>
    <t xml:space="preserve">T018 </t>
  </si>
  <si>
    <t xml:space="preserve"> Jan/19/2024 </t>
  </si>
  <si>
    <t xml:space="preserve"> Webcam HD </t>
  </si>
  <si>
    <t xml:space="preserve">T019 </t>
  </si>
  <si>
    <t xml:space="preserve"> 2024-01-20 </t>
  </si>
  <si>
    <t xml:space="preserve"> Filing Cabinet </t>
  </si>
  <si>
    <t xml:space="preserve">T020 </t>
  </si>
  <si>
    <t xml:space="preserve"> 2024-01-21 </t>
  </si>
  <si>
    <t xml:space="preserve"> Power Bank </t>
  </si>
  <si>
    <t xml:space="preserve">T021 </t>
  </si>
  <si>
    <t xml:space="preserve"> 2024-01-22 </t>
  </si>
  <si>
    <t xml:space="preserve"> Firewall Appliance </t>
  </si>
  <si>
    <t xml:space="preserve">T022 </t>
  </si>
  <si>
    <t xml:space="preserve"> 2024-01-23 </t>
  </si>
  <si>
    <t xml:space="preserve"> Noise Cancelling Headset </t>
  </si>
  <si>
    <t xml:space="preserve">T023 </t>
  </si>
  <si>
    <t xml:space="preserve"> 2024-01-24 </t>
  </si>
  <si>
    <t xml:space="preserve"> Desk Organizer </t>
  </si>
  <si>
    <t xml:space="preserve">T024 </t>
  </si>
  <si>
    <t xml:space="preserve"> 25-01-2024 </t>
  </si>
  <si>
    <t xml:space="preserve"> Smart Display </t>
  </si>
  <si>
    <t xml:space="preserve">T025 </t>
  </si>
  <si>
    <t xml:space="preserve"> 2024-01-26 </t>
  </si>
  <si>
    <t xml:space="preserve"> Cable Management Kit </t>
  </si>
  <si>
    <t xml:space="preserve">T026 </t>
  </si>
  <si>
    <t xml:space="preserve"> 2024-01-27 </t>
  </si>
  <si>
    <t xml:space="preserve"> Laptop Air 13 </t>
  </si>
  <si>
    <t xml:space="preserve">T027 </t>
  </si>
  <si>
    <t xml:space="preserve"> 28/01/2024 </t>
  </si>
  <si>
    <t xml:space="preserve"> Server Rack Shelf </t>
  </si>
  <si>
    <t xml:space="preserve">T028 </t>
  </si>
  <si>
    <t xml:space="preserve"> 2024-01-29 </t>
  </si>
  <si>
    <t xml:space="preserve"> USB Headset </t>
  </si>
  <si>
    <t xml:space="preserve">T029 </t>
  </si>
  <si>
    <t xml:space="preserve"> Jan-30-2024 </t>
  </si>
  <si>
    <t xml:space="preserve"> Whiteboard Markers </t>
  </si>
  <si>
    <t xml:space="preserve">T030 </t>
  </si>
  <si>
    <t xml:space="preserve"> 2024-01-31 </t>
  </si>
  <si>
    <t xml:space="preserve"> Smartwatch Pro </t>
  </si>
  <si>
    <t xml:space="preserve">T031 </t>
  </si>
  <si>
    <t xml:space="preserve"> 2024-02-01 </t>
  </si>
  <si>
    <t xml:space="preserve"> 01 February 2024 </t>
  </si>
  <si>
    <t xml:space="preserve"> Wireless Charger </t>
  </si>
  <si>
    <t xml:space="preserve">T032 </t>
  </si>
  <si>
    <t xml:space="preserve"> 02-02-2024 </t>
  </si>
  <si>
    <t xml:space="preserve"> POS Terminal </t>
  </si>
  <si>
    <t xml:space="preserve">T033 </t>
  </si>
  <si>
    <t xml:space="preserve"> 2024/02/03 </t>
  </si>
  <si>
    <t xml:space="preserve"> Promotional USB </t>
  </si>
  <si>
    <t xml:space="preserve"> "650" </t>
  </si>
  <si>
    <t xml:space="preserve">T034 </t>
  </si>
  <si>
    <t xml:space="preserve"> 04 Feb 2024 </t>
  </si>
  <si>
    <t xml:space="preserve"> Backup NAS </t>
  </si>
  <si>
    <t xml:space="preserve">T035 </t>
  </si>
  <si>
    <t xml:space="preserve"> 2024-02-05 </t>
  </si>
  <si>
    <t xml:space="preserve"> Call Log Register </t>
  </si>
  <si>
    <t xml:space="preserve">T036 </t>
  </si>
  <si>
    <t xml:space="preserve"> 06/02/2024 </t>
  </si>
  <si>
    <t xml:space="preserve"> Gaming Laptop </t>
  </si>
  <si>
    <t xml:space="preserve">T037 </t>
  </si>
  <si>
    <t xml:space="preserve"> 2024-02-07 </t>
  </si>
  <si>
    <t xml:space="preserve"> Tool Kit </t>
  </si>
  <si>
    <t xml:space="preserve">T038 </t>
  </si>
  <si>
    <t xml:space="preserve"> Feb 08 2024 </t>
  </si>
  <si>
    <t xml:space="preserve"> Digital Signage Panel </t>
  </si>
  <si>
    <t xml:space="preserve">T039 </t>
  </si>
  <si>
    <t xml:space="preserve"> 2024/02/09 </t>
  </si>
  <si>
    <t xml:space="preserve"> Printer Ink Cartridge </t>
  </si>
  <si>
    <t xml:space="preserve">T040 </t>
  </si>
  <si>
    <t xml:space="preserve"> 10-02-2024 </t>
  </si>
  <si>
    <t xml:space="preserve"> SSD External 1TB </t>
  </si>
  <si>
    <t>Unknown</t>
  </si>
  <si>
    <t>Data Cleaning &amp; Preparation Steps</t>
  </si>
  <si>
    <t>1. Created a Raw_Data sheet to store unstructured and inconsistent data.</t>
  </si>
  <si>
    <t>2. Removed duplicate transaction records to ensure data accuracy.</t>
  </si>
  <si>
    <t>3. Standardized Date format to YYYY-MM-DD across all records.</t>
  </si>
  <si>
    <t>4. Cleaned Department and Category values by fixing spelling inconsistencies.</t>
  </si>
  <si>
    <t>5. Converted currency columns (UnitPrice, Revenue, Cost, Profit) to numeric format.</t>
  </si>
  <si>
    <t>6. Validated UnitsSold values and removed invalid or negative entries.</t>
  </si>
  <si>
    <t>7. Ensured Revenue and Profit calculations were consistent with UnitPrice and Cost.</t>
  </si>
  <si>
    <t>8. Created a Cleaned_Data sheet for analysis and reporting.</t>
  </si>
  <si>
    <t>9. Built Pivot Tables to analyze Revenue and Profit by Month, Department, and Region.</t>
  </si>
  <si>
    <t>10. Developed charts to visualize sales trends and category-wise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</si>
</sst>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F800]dddd\,\ mmmm\ dd\,\ yyyy"/>
    <numFmt numFmtId="165" formatCode="mmm/yyyy"/>
    <numFmt numFmtId="166" formatCode="&quot;₹&quot;\ #,##0.00"/>
  </numFmts>
  <fonts count="7" x14ac:knownFonts="1">
    <font>
      <sz val="11"/>
      <color theme="1"/>
      <name val="Calibri"/>
      <family val="2"/>
      <scheme val="minor"/>
    </font>
    <font>
      <sz val="8"/>
      <name val="Calibri"/>
      <family val="2"/>
      <scheme val="minor"/>
    </font>
    <font>
      <b/>
      <sz val="11"/>
      <color rgb="FF3F3F3F"/>
      <name val="Calibri"/>
      <family val="2"/>
      <scheme val="minor"/>
    </font>
    <font>
      <b/>
      <sz val="18"/>
      <color theme="1"/>
      <name val="Calibri"/>
      <family val="2"/>
      <scheme val="minor"/>
    </font>
    <font>
      <b/>
      <sz val="12"/>
      <color rgb="FF3F3F3F"/>
      <name val="Calibri"/>
      <family val="2"/>
      <scheme val="minor"/>
    </font>
    <font>
      <b/>
      <sz val="14"/>
      <color theme="1"/>
      <name val="Calibri"/>
      <family val="2"/>
      <scheme val="minor"/>
    </font>
    <font>
      <sz val="12"/>
      <color theme="1"/>
      <name val="Calibri"/>
      <family val="2"/>
      <scheme val="minor"/>
    </font>
  </fonts>
  <fills count="4">
    <fill>
      <patternFill patternType="none"/>
    </fill>
    <fill>
      <patternFill patternType="gray125"/>
    </fill>
    <fill>
      <patternFill patternType="solid">
        <fgColor rgb="FFF2F2F2"/>
      </patternFill>
    </fill>
    <fill>
      <patternFill patternType="solid">
        <fgColor theme="8" tint="0.79998168889431442"/>
        <bgColor indexed="64"/>
      </patternFill>
    </fill>
  </fills>
  <borders count="2">
    <border>
      <left/>
      <right/>
      <top/>
      <bottom/>
      <diagonal/>
    </border>
    <border>
      <left style="thin">
        <color rgb="FF3F3F3F"/>
      </left>
      <right style="thin">
        <color rgb="FF3F3F3F"/>
      </right>
      <top style="thin">
        <color rgb="FF3F3F3F"/>
      </top>
      <bottom style="thin">
        <color rgb="FF3F3F3F"/>
      </bottom>
      <diagonal/>
    </border>
  </borders>
  <cellStyleXfs count="2">
    <xf numFmtId="0" fontId="0" fillId="0" borderId="0"/>
    <xf numFmtId="0" fontId="2" fillId="2" borderId="1" applyNumberFormat="0" applyAlignment="0" applyProtection="0"/>
  </cellStyleXfs>
  <cellXfs count="17">
    <xf numFmtId="0" fontId="0" fillId="0" borderId="0" xfId="0"/>
    <xf numFmtId="44" fontId="0" fillId="0" borderId="0" xfId="0" applyNumberFormat="1"/>
    <xf numFmtId="2"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applyAlignment="1">
      <alignment horizontal="center" vertical="center"/>
    </xf>
    <xf numFmtId="166" fontId="3" fillId="0" borderId="0" xfId="0" applyNumberFormat="1" applyFont="1" applyAlignment="1">
      <alignment horizontal="center" vertical="center"/>
    </xf>
    <xf numFmtId="2" fontId="3" fillId="0" borderId="0" xfId="0" applyNumberFormat="1" applyFont="1" applyAlignment="1">
      <alignment horizontal="center" vertical="center"/>
    </xf>
    <xf numFmtId="0" fontId="4" fillId="3" borderId="0" xfId="1" applyFont="1" applyFill="1" applyBorder="1" applyAlignment="1">
      <alignment horizontal="center" vertical="center"/>
    </xf>
    <xf numFmtId="166" fontId="0" fillId="0" borderId="0" xfId="0" applyNumberFormat="1" applyAlignment="1">
      <alignment horizontal="center" vertical="center"/>
    </xf>
    <xf numFmtId="166" fontId="0" fillId="0" borderId="0" xfId="0" applyNumberFormat="1"/>
    <xf numFmtId="0" fontId="0" fillId="0" borderId="0" xfId="0" applyNumberFormat="1"/>
    <xf numFmtId="49" fontId="5" fillId="0" borderId="0" xfId="0" applyNumberFormat="1" applyFont="1"/>
    <xf numFmtId="49" fontId="6" fillId="0" borderId="0" xfId="0" applyNumberFormat="1" applyFont="1" applyAlignment="1">
      <alignment horizontal="left" vertical="top"/>
    </xf>
    <xf numFmtId="0" fontId="6" fillId="0" borderId="0" xfId="0" applyFont="1" applyAlignment="1">
      <alignment horizontal="left" vertical="top"/>
    </xf>
  </cellXfs>
  <cellStyles count="2">
    <cellStyle name="Normal" xfId="0" builtinId="0"/>
    <cellStyle name="Output" xfId="1" builtinId="21"/>
  </cellStyles>
  <dxfs count="8">
    <dxf>
      <numFmt numFmtId="166" formatCode="&quot;₹&quot;\ #,##0.00"/>
    </dxf>
    <dxf>
      <numFmt numFmtId="166" formatCode="&quot;₹&quot;\ #,##0.00"/>
    </dxf>
    <dxf>
      <numFmt numFmtId="166" formatCode="&quot;₹&quot;\ #,##0.00"/>
    </dxf>
    <dxf>
      <numFmt numFmtId="166" formatCode="&quot;₹&quot;\ #,##0.00"/>
    </dxf>
    <dxf>
      <numFmt numFmtId="2" formatCode="0.00"/>
    </dxf>
    <dxf>
      <numFmt numFmtId="164" formatCode="[$-F800]dddd\,\ mmmm\ dd\,\ yyyy"/>
    </dxf>
    <dxf>
      <numFmt numFmtId="164" formatCode="[$-F800]dddd\,\ mmmm\ dd\,\ yyyy"/>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[Excel_Project1.xlsx]Pivot_Analysis!PivotTable1</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1100">
                <a:latin typeface="+mn-lt"/>
              </a:rPr>
              <a:t>Revenue by Department</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5"/>
          </a:solidFill>
          <a:ln>
            <a:noFill/>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5"/>
            </a:solidFill>
            <a:ln>
              <a:noFill/>
            </a:ln>
            <a:effectLst/>
          </c:spPr>
          <c:invertIfNegative val="0"/>
          <c:cat>
            <c:strRef>
              <c:f>Pivot_Analysis!$A$4:$A$9</c:f>
              <c:strCache>
                <c:ptCount val="5"/>
                <c:pt idx="0">
                  <c:v>Sales</c:v>
                </c:pt>
                <c:pt idx="1">
                  <c:v>Operations</c:v>
                </c:pt>
                <c:pt idx="2">
                  <c:v>IT</c:v>
                </c:pt>
                <c:pt idx="3">
                  <c:v>Marketing</c:v>
                </c:pt>
                <c:pt idx="4">
                  <c:v>Customer Support</c:v>
                </c:pt>
              </c:strCache>
            </c:strRef>
          </c:cat>
          <c:val>
            <c:numRef>
              <c:f>Pivot_Analysis!$B$4:$B$9</c:f>
              <c:numCache>
                <c:formatCode>_("₹"* #,##0.00_);_("₹"* \(#,##0.00\);_("₹"* "-"??_);_(@_)</c:formatCode>
                <c:ptCount val="5"/>
                <c:pt idx="0">
                  <c:v>1591300</c:v>
                </c:pt>
                <c:pt idx="1">
                  <c:v>512100</c:v>
                </c:pt>
                <c:pt idx="2">
                  <c:v>461200</c:v>
                </c:pt>
                <c:pt idx="3">
                  <c:v>273750</c:v>
                </c:pt>
                <c:pt idx="4">
                  <c:v>76600</c:v>
                </c:pt>
              </c:numCache>
            </c:numRef>
          </c:val>
          <c:extLst>
            <c:ext xmlns:c16="http://schemas.microsoft.com/office/drawing/2014/chart" uri="{C3380CC4-5D6E-409C-BE32-E72D297353CC}">
              <c16:uniqueId val="{00000000-1055-40F3-ACD7-E5B8B707BFF8}"/>
            </c:ext>
          </c:extLst>
        </c:ser>
        <c:dLbls>
          <c:showLegendKey val="0"/>
          <c:showVal val="0"/>
          <c:showCatName val="0"/>
          <c:showSerName val="0"/>
          <c:showPercent val="0"/>
          <c:showBubbleSize val="0"/>
        </c:dLbls>
        <c:gapWidth val="199"/>
        <c:axId val="706116296"/>
        <c:axId val="706115936"/>
      </c:barChart>
      <c:catAx>
        <c:axId val="706116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06115936"/>
        <c:crosses val="autoZero"/>
        <c:auto val="1"/>
        <c:lblAlgn val="ctr"/>
        <c:lblOffset val="100"/>
        <c:noMultiLvlLbl val="0"/>
      </c:catAx>
      <c:valAx>
        <c:axId val="7061159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6116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[Excel_Project1.xlsx]Pivot_Analysis!PivotTable3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Pivot_Analysis!$B$20</c:f>
              <c:strCache>
                <c:ptCount val="1"/>
                <c:pt idx="0">
                  <c:v>Total</c:v>
                </c:pt>
              </c:strCache>
            </c:strRef>
          </c:tx>
          <c:spPr>
            <a:solidFill>
              <a:schemeClr val="accent1"/>
            </a:solidFill>
            <a:ln>
              <a:noFill/>
            </a:ln>
            <a:effectLst/>
          </c:spPr>
          <c:invertIfNegative val="0"/>
          <c:cat>
            <c:strRef>
              <c:f>Pivot_Analysis!$A$21:$A$25</c:f>
              <c:strCache>
                <c:ptCount val="4"/>
                <c:pt idx="0">
                  <c:v>East</c:v>
                </c:pt>
                <c:pt idx="1">
                  <c:v>North</c:v>
                </c:pt>
                <c:pt idx="2">
                  <c:v>South</c:v>
                </c:pt>
                <c:pt idx="3">
                  <c:v>West</c:v>
                </c:pt>
              </c:strCache>
            </c:strRef>
          </c:cat>
          <c:val>
            <c:numRef>
              <c:f>Pivot_Analysis!$B$21:$B$25</c:f>
              <c:numCache>
                <c:formatCode>_("₹"* #,##0.00_);_("₹"* \(#,##0.00\);_("₹"* "-"??_);_(@_)</c:formatCode>
                <c:ptCount val="4"/>
                <c:pt idx="0">
                  <c:v>674500</c:v>
                </c:pt>
                <c:pt idx="1">
                  <c:v>574750</c:v>
                </c:pt>
                <c:pt idx="2">
                  <c:v>941600</c:v>
                </c:pt>
                <c:pt idx="3">
                  <c:v>724100</c:v>
                </c:pt>
              </c:numCache>
            </c:numRef>
          </c:val>
          <c:extLst>
            <c:ext xmlns:c16="http://schemas.microsoft.com/office/drawing/2014/chart" uri="{C3380CC4-5D6E-409C-BE32-E72D297353CC}">
              <c16:uniqueId val="{00000000-BC9D-4BCC-A07D-50FBED93D9BF}"/>
            </c:ext>
          </c:extLst>
        </c:ser>
        <c:dLbls>
          <c:showLegendKey val="0"/>
          <c:showVal val="0"/>
          <c:showCatName val="0"/>
          <c:showSerName val="0"/>
          <c:showPercent val="0"/>
          <c:showBubbleSize val="0"/>
        </c:dLbls>
        <c:gapWidth val="219"/>
        <c:axId val="720142528"/>
        <c:axId val="720143248"/>
      </c:barChart>
      <c:catAx>
        <c:axId val="7201425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143248"/>
        <c:crosses val="autoZero"/>
        <c:auto val="1"/>
        <c:lblAlgn val="ctr"/>
        <c:lblOffset val="100"/>
        <c:noMultiLvlLbl val="0"/>
      </c:catAx>
      <c:valAx>
        <c:axId val="720143248"/>
        <c:scaling>
          <c:orientation val="minMax"/>
        </c:scaling>
        <c:delete val="0"/>
        <c:axPos val="b"/>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14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[Excel_Project1.xlsx]Pivot_Analysis!PivotTable5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Pivot_Analysis!$A$28:$A$30</c:f>
              <c:strCache>
                <c:ptCount val="2"/>
                <c:pt idx="0">
                  <c:v>Jan</c:v>
                </c:pt>
                <c:pt idx="1">
                  <c:v>Feb</c:v>
                </c:pt>
              </c:strCache>
            </c:strRef>
          </c:cat>
          <c:val>
            <c:numRef>
              <c:f>Pivot_Analysis!$B$28:$B$30</c:f>
              <c:numCache>
                <c:formatCode>_("₹"* #,##0.00_);_("₹"* \(#,##0.00\);_("₹"* "-"??_);_(@_)</c:formatCode>
                <c:ptCount val="2"/>
                <c:pt idx="0">
                  <c:v>2050800</c:v>
                </c:pt>
                <c:pt idx="1">
                  <c:v>864150</c:v>
                </c:pt>
              </c:numCache>
            </c:numRef>
          </c:val>
          <c:smooth val="0"/>
          <c:extLst>
            <c:ext xmlns:c16="http://schemas.microsoft.com/office/drawing/2014/chart" uri="{C3380CC4-5D6E-409C-BE32-E72D297353CC}">
              <c16:uniqueId val="{00000002-CE2C-4556-BA6A-A97F7C334DB2}"/>
            </c:ext>
          </c:extLst>
        </c:ser>
        <c:dLbls>
          <c:dLblPos val="t"/>
          <c:showLegendKey val="0"/>
          <c:showVal val="1"/>
          <c:showCatName val="0"/>
          <c:showSerName val="0"/>
          <c:showPercent val="0"/>
          <c:showBubbleSize val="0"/>
        </c:dLbls>
        <c:smooth val="0"/>
        <c:axId val="716959952"/>
        <c:axId val="716957432"/>
      </c:lineChart>
      <c:catAx>
        <c:axId val="716959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57432"/>
        <c:crosses val="autoZero"/>
        <c:auto val="1"/>
        <c:lblAlgn val="ctr"/>
        <c:lblOffset val="100"/>
        <c:noMultiLvlLbl val="0"/>
      </c:catAx>
      <c:valAx>
        <c:axId val="716957432"/>
        <c:scaling>
          <c:orientation val="minMax"/>
        </c:scaling>
        <c:delete val="0"/>
        <c:axPos val="l"/>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959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3</xdr:row>
      <xdr:rowOff>1</xdr:rowOff>
    </xdr:from>
    <xdr:to>
      <xdr:col>16</xdr:col>
      <xdr:colOff>1373</xdr:colOff>
      <xdr:row>9</xdr:row>
      <xdr:rowOff>68581</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6387160F-EC63-4A54-BAD4-BF039E4DDF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22380" y="678181"/>
              <a:ext cx="1830173"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11</xdr:row>
      <xdr:rowOff>1</xdr:rowOff>
    </xdr:from>
    <xdr:to>
      <xdr:col>16</xdr:col>
      <xdr:colOff>1373</xdr:colOff>
      <xdr:row>15</xdr:row>
      <xdr:rowOff>152400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B8D4E61-53D4-4CF6-B1A0-69985339AF9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22380" y="2141221"/>
              <a:ext cx="1830173"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17</xdr:row>
      <xdr:rowOff>1</xdr:rowOff>
    </xdr:from>
    <xdr:to>
      <xdr:col>16</xdr:col>
      <xdr:colOff>1373</xdr:colOff>
      <xdr:row>26</xdr:row>
      <xdr:rowOff>53341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3022B593-A665-47B8-93E3-BB05F8C18ED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22380" y="3238501"/>
              <a:ext cx="1830173"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518160</xdr:colOff>
      <xdr:row>2</xdr:row>
      <xdr:rowOff>173620</xdr:rowOff>
    </xdr:from>
    <xdr:to>
      <xdr:col>6</xdr:col>
      <xdr:colOff>236220</xdr:colOff>
      <xdr:row>16</xdr:row>
      <xdr:rowOff>101279</xdr:rowOff>
    </xdr:to>
    <xdr:graphicFrame macro="">
      <xdr:nvGraphicFramePr>
        <xdr:cNvPr id="5" name="Chart 4">
          <a:extLst>
            <a:ext uri="{FF2B5EF4-FFF2-40B4-BE49-F238E27FC236}">
              <a16:creationId xmlns:a16="http://schemas.microsoft.com/office/drawing/2014/main" id="{463D6C19-576B-47F9-AFCE-3BC6AA0AD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518160</xdr:colOff>
      <xdr:row>16</xdr:row>
      <xdr:rowOff>106680</xdr:rowOff>
    </xdr:from>
    <xdr:to>
      <xdr:col>11</xdr:col>
      <xdr:colOff>19291</xdr:colOff>
      <xdr:row>28</xdr:row>
      <xdr:rowOff>60960</xdr:rowOff>
    </xdr:to>
    <xdr:graphicFrame macro="">
      <xdr:nvGraphicFramePr>
        <xdr:cNvPr id="8" name="Chart 7">
          <a:extLst>
            <a:ext uri="{FF2B5EF4-FFF2-40B4-BE49-F238E27FC236}">
              <a16:creationId xmlns:a16="http://schemas.microsoft.com/office/drawing/2014/main" id="{CBC141E7-56C7-4A4E-96CE-17DFD196A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243840</xdr:colOff>
      <xdr:row>2</xdr:row>
      <xdr:rowOff>175260</xdr:rowOff>
    </xdr:from>
    <xdr:to>
      <xdr:col>11</xdr:col>
      <xdr:colOff>22860</xdr:colOff>
      <xdr:row>16</xdr:row>
      <xdr:rowOff>114300</xdr:rowOff>
    </xdr:to>
    <xdr:graphicFrame macro="">
      <xdr:nvGraphicFramePr>
        <xdr:cNvPr id="9" name="Chart 8">
          <a:extLst>
            <a:ext uri="{FF2B5EF4-FFF2-40B4-BE49-F238E27FC236}">
              <a16:creationId xmlns:a16="http://schemas.microsoft.com/office/drawing/2014/main" id="{CFD6E880-C707-4B20-9554-987D7AA038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NAL" refreshedDate="46053.019106250002" createdVersion="8" refreshedVersion="8" minRefreshableVersion="3" recordCount="40" xr:uid="{47206ACB-D63B-4195-905C-9222B7ADA980}">
  <cacheSource type="worksheet">
    <worksheetSource name="Table1"/>
  </cacheSource>
  <cacheFields count="16">
    <cacheField name="TransactionID" numFmtId="0">
      <sharedItems/>
    </cacheField>
    <cacheField name="Date" numFmtId="164">
      <sharedItems count="40">
        <s v="2024-01-02"/>
        <s v="2024-01-03"/>
        <s v="2024-01-04"/>
        <s v="2024-01-05"/>
        <s v="2024-01-06"/>
        <s v="2024-01-07"/>
        <s v="2024-01-08"/>
        <s v="2024-01-09"/>
        <s v="2024-01-10"/>
        <s v="2024-01-11"/>
        <s v="2024-01-12"/>
        <s v="2024-01-13"/>
        <s v="2024-01-14"/>
        <s v="2024-01-15"/>
        <s v="2024-01-16"/>
        <s v="2024-01-17"/>
        <s v="2024-01-18"/>
        <s v="2024-01-19"/>
        <s v="2024-01-20"/>
        <s v="2024-01-21"/>
        <s v="2024-01-22"/>
        <s v="2024-01-23"/>
        <s v="2024-01-24"/>
        <s v="2024-01-25"/>
        <s v="2024-01-26"/>
        <s v="2024-01-27"/>
        <s v="2024-01-28"/>
        <s v="2024-01-29"/>
        <s v="2024-01-30"/>
        <s v="2024-01-31"/>
        <s v="2024-02-01"/>
        <s v="2024-02-02"/>
        <s v="2024-02-03"/>
        <s v="2024-02-04"/>
        <s v="2024-02-05"/>
        <s v="2024-02-06"/>
        <s v="2024-02-07"/>
        <s v="2024-02-08"/>
        <s v="2024-02-09"/>
        <s v="2024-02-10"/>
      </sharedItems>
      <fieldGroup par="13"/>
    </cacheField>
    <cacheField name="Month_start" numFmtId="164">
      <sharedItems containsSemiMixedTypes="0" containsNonDate="0" containsDate="1" containsString="0" minDate="2024-01-01T00:00:00" maxDate="2024-02-02T00:00:00" count="2">
        <d v="2024-01-01T00:00:00"/>
        <d v="2024-02-01T00:00:00"/>
      </sharedItems>
      <fieldGroup par="15"/>
    </cacheField>
    <cacheField name="Department" numFmtId="0">
      <sharedItems count="5">
        <s v="Sales"/>
        <s v="Marketing"/>
        <s v="Operations"/>
        <s v="IT"/>
        <s v="Customer Support"/>
      </sharedItems>
    </cacheField>
    <cacheField name="Category" numFmtId="0">
      <sharedItems count="3">
        <s v="Electronics"/>
        <s v="Accessories"/>
        <s v="Office Supplies"/>
      </sharedItems>
    </cacheField>
    <cacheField name="ProductName" numFmtId="0">
      <sharedItems/>
    </cacheField>
    <cacheField name="Region" numFmtId="0">
      <sharedItems count="4">
        <s v="North"/>
        <s v="South"/>
        <s v="West"/>
        <s v="East"/>
      </sharedItems>
    </cacheField>
    <cacheField name="SalesPerson" numFmtId="0">
      <sharedItems/>
    </cacheField>
    <cacheField name="UnitsSold" numFmtId="2">
      <sharedItems containsSemiMixedTypes="0" containsString="0" containsNumber="1" containsInteger="1" minValue="1" maxValue="40"/>
    </cacheField>
    <cacheField name="UnitPrice" numFmtId="166">
      <sharedItems containsSemiMixedTypes="0" containsString="0" containsNumber="1" containsInteger="1" minValue="85" maxValue="150000"/>
    </cacheField>
    <cacheField name="Cost" numFmtId="166">
      <sharedItems containsSemiMixedTypes="0" containsString="0" containsNumber="1" containsInteger="1" minValue="2400" maxValue="300000"/>
    </cacheField>
    <cacheField name="Revenue" numFmtId="166">
      <sharedItems containsSemiMixedTypes="0" containsString="0" containsNumber="1" containsInteger="1" minValue="3300" maxValue="330000"/>
    </cacheField>
    <cacheField name="Profit" numFmtId="166">
      <sharedItems containsSemiMixedTypes="0" containsString="0" containsNumber="1" containsInteger="1" minValue="800" maxValue="30000"/>
    </cacheField>
    <cacheField name="Date2" numFmtId="0" databaseField="0">
      <fieldGroup base="1">
        <discretePr count="40">
          <x v="0"/>
          <x v="0"/>
          <x v="0"/>
          <x v="0"/>
          <x v="0"/>
          <x v="0"/>
          <x v="0"/>
          <x v="0"/>
          <x v="0"/>
          <x v="0"/>
          <x v="0"/>
          <x v="0"/>
          <x v="0"/>
          <x v="0"/>
          <x v="0"/>
          <x v="0"/>
          <x v="0"/>
          <x v="0"/>
          <x v="0"/>
          <x v="0"/>
          <x v="0"/>
          <x v="0"/>
          <x v="0"/>
          <x v="0"/>
          <x v="0"/>
          <x v="0"/>
          <x v="0"/>
          <x v="0"/>
          <x v="0"/>
          <x v="0"/>
          <x v="1"/>
          <x v="1"/>
          <x v="1"/>
          <x v="1"/>
          <x v="1"/>
          <x v="1"/>
          <x v="1"/>
          <x v="1"/>
          <x v="1"/>
          <x v="1"/>
        </discretePr>
        <groupItems count="2">
          <s v="Group1"/>
          <s v="Group2"/>
        </groupItems>
      </fieldGroup>
    </cacheField>
    <cacheField name="Days (Month_start)" numFmtId="0" databaseField="0">
      <fieldGroup base="2">
        <rangePr groupBy="days" startDate="2024-01-01T00:00:00" endDate="2024-02-02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2-2024"/>
        </groupItems>
      </fieldGroup>
    </cacheField>
    <cacheField name="Months (Month_start)" numFmtId="0" databaseField="0">
      <fieldGroup base="2">
        <rangePr groupBy="months" startDate="2024-01-01T00:00:00" endDate="2024-02-02T00:00:00"/>
        <groupItems count="14">
          <s v="&lt;01-01-2024"/>
          <s v="Jan"/>
          <s v="Feb"/>
          <s v="Mar"/>
          <s v="Apr"/>
          <s v="May"/>
          <s v="Jun"/>
          <s v="Jul"/>
          <s v="Aug"/>
          <s v="Sep"/>
          <s v="Oct"/>
          <s v="Nov"/>
          <s v="Dec"/>
          <s v="&gt;02-02-2024"/>
        </groupItems>
      </fieldGroup>
    </cacheField>
  </cacheFields>
  <extLst>
    <ext xmlns:x14="http://schemas.microsoft.com/office/spreadsheetml/2009/9/main" uri="{725AE2AE-9491-48be-B2B4-4EB974FC3084}">
      <x14:pivotCacheDefinition pivotCacheId="18732765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T001"/>
    <x v="0"/>
    <x v="0"/>
    <x v="0"/>
    <x v="0"/>
    <s v="Laptop Pro 14"/>
    <x v="0"/>
    <s v="Rahul"/>
    <n v="2"/>
    <n v="85000"/>
    <n v="145000"/>
    <n v="170000"/>
    <n v="25000"/>
  </r>
  <r>
    <s v="T002"/>
    <x v="1"/>
    <x v="0"/>
    <x v="0"/>
    <x v="1"/>
    <s v="Wireless Mouse"/>
    <x v="1"/>
    <s v="Anita"/>
    <n v="12"/>
    <n v="1200"/>
    <n v="9000"/>
    <n v="14400"/>
    <n v="5400"/>
  </r>
  <r>
    <s v="T003"/>
    <x v="2"/>
    <x v="0"/>
    <x v="1"/>
    <x v="2"/>
    <s v="Notebook A4"/>
    <x v="2"/>
    <s v="Vikas"/>
    <n v="40"/>
    <n v="85"/>
    <n v="2600"/>
    <n v="3400"/>
    <n v="800"/>
  </r>
  <r>
    <s v="T004"/>
    <x v="3"/>
    <x v="0"/>
    <x v="2"/>
    <x v="0"/>
    <s v="Desktop i5"/>
    <x v="3"/>
    <s v="Suman"/>
    <n v="3"/>
    <n v="65000"/>
    <n v="168000"/>
    <n v="195000"/>
    <n v="27000"/>
  </r>
  <r>
    <s v="T005"/>
    <x v="4"/>
    <x v="0"/>
    <x v="0"/>
    <x v="1"/>
    <s v="USB-C Hub"/>
    <x v="0"/>
    <s v="Unknown"/>
    <n v="8"/>
    <n v="2500"/>
    <n v="14000"/>
    <n v="20000"/>
    <n v="6000"/>
  </r>
  <r>
    <s v="T006"/>
    <x v="5"/>
    <x v="0"/>
    <x v="3"/>
    <x v="0"/>
    <s v="Network Router"/>
    <x v="1"/>
    <s v="Amit"/>
    <n v="5"/>
    <n v="9200"/>
    <n v="38000"/>
    <n v="46000"/>
    <n v="8000"/>
  </r>
  <r>
    <s v="T007"/>
    <x v="6"/>
    <x v="0"/>
    <x v="4"/>
    <x v="2"/>
    <s v="Wired Headset"/>
    <x v="3"/>
    <s v="Priya"/>
    <n v="10"/>
    <n v="1500"/>
    <n v="11000"/>
    <n v="15000"/>
    <n v="4000"/>
  </r>
  <r>
    <s v="T008"/>
    <x v="7"/>
    <x v="0"/>
    <x v="0"/>
    <x v="0"/>
    <s v="Tablet Air"/>
    <x v="2"/>
    <s v="Arjun"/>
    <n v="4"/>
    <n v="42000"/>
    <n v="150000"/>
    <n v="168000"/>
    <n v="18000"/>
  </r>
  <r>
    <s v="T009"/>
    <x v="8"/>
    <x v="0"/>
    <x v="1"/>
    <x v="1"/>
    <s v="Pen Drive 64GB"/>
    <x v="0"/>
    <s v="Kiran"/>
    <n v="20"/>
    <n v="900"/>
    <n v="13500"/>
    <n v="18000"/>
    <n v="4500"/>
  </r>
  <r>
    <s v="T010"/>
    <x v="9"/>
    <x v="0"/>
    <x v="2"/>
    <x v="2"/>
    <s v="Office Chair"/>
    <x v="1"/>
    <s v="Ramesh"/>
    <n v="5"/>
    <n v="7600"/>
    <n v="31000"/>
    <n v="38000"/>
    <n v="7000"/>
  </r>
  <r>
    <s v="T011"/>
    <x v="10"/>
    <x v="0"/>
    <x v="0"/>
    <x v="0"/>
    <s v="Smartphone X"/>
    <x v="3"/>
    <s v="Rahul"/>
    <n v="6"/>
    <n v="55000"/>
    <n v="300000"/>
    <n v="330000"/>
    <n v="30000"/>
  </r>
  <r>
    <s v="T012"/>
    <x v="11"/>
    <x v="0"/>
    <x v="0"/>
    <x v="1"/>
    <s v="Bluetooth Keyboard"/>
    <x v="2"/>
    <s v="Anita"/>
    <n v="9"/>
    <n v="2800"/>
    <n v="19000"/>
    <n v="25200"/>
    <n v="6200"/>
  </r>
  <r>
    <s v="T013"/>
    <x v="12"/>
    <x v="0"/>
    <x v="1"/>
    <x v="2"/>
    <s v="Sticky Notes Pack"/>
    <x v="0"/>
    <s v="Vikas"/>
    <n v="30"/>
    <n v="120"/>
    <n v="2500"/>
    <n v="3600"/>
    <n v="1100"/>
  </r>
  <r>
    <s v="T014"/>
    <x v="13"/>
    <x v="0"/>
    <x v="2"/>
    <x v="0"/>
    <s v="Barcode Scanner"/>
    <x v="1"/>
    <s v="Suman"/>
    <n v="4"/>
    <n v="18000"/>
    <n v="60000"/>
    <n v="72000"/>
    <n v="12000"/>
  </r>
  <r>
    <s v="T015"/>
    <x v="14"/>
    <x v="0"/>
    <x v="3"/>
    <x v="1"/>
    <s v="LAN Cable 10m"/>
    <x v="3"/>
    <s v="Amit"/>
    <n v="15"/>
    <n v="600"/>
    <n v="7000"/>
    <n v="9000"/>
    <n v="2000"/>
  </r>
  <r>
    <s v="T016"/>
    <x v="15"/>
    <x v="0"/>
    <x v="4"/>
    <x v="2"/>
    <s v="Mouse Pad"/>
    <x v="2"/>
    <s v="Priya"/>
    <n v="18"/>
    <n v="350"/>
    <n v="4800"/>
    <n v="6300"/>
    <n v="1500"/>
  </r>
  <r>
    <s v="T017"/>
    <x v="16"/>
    <x v="0"/>
    <x v="0"/>
    <x v="0"/>
    <s v="Monitor 27inch"/>
    <x v="0"/>
    <s v="Neha"/>
    <n v="7"/>
    <n v="22000"/>
    <n v="133000"/>
    <n v="154000"/>
    <n v="21000"/>
  </r>
  <r>
    <s v="T018"/>
    <x v="17"/>
    <x v="0"/>
    <x v="1"/>
    <x v="1"/>
    <s v="Webcam HD"/>
    <x v="1"/>
    <s v="Kiran"/>
    <n v="6"/>
    <n v="4200"/>
    <n v="21000"/>
    <n v="25200"/>
    <n v="4200"/>
  </r>
  <r>
    <s v="T019"/>
    <x v="18"/>
    <x v="0"/>
    <x v="2"/>
    <x v="2"/>
    <s v="Filing Cabinet"/>
    <x v="3"/>
    <s v="Ramesh"/>
    <n v="3"/>
    <n v="12500"/>
    <n v="32000"/>
    <n v="37500"/>
    <n v="5500"/>
  </r>
  <r>
    <s v="T020"/>
    <x v="19"/>
    <x v="0"/>
    <x v="0"/>
    <x v="1"/>
    <s v="Power Bank"/>
    <x v="2"/>
    <s v="Arjun"/>
    <n v="14"/>
    <n v="1800"/>
    <n v="19500"/>
    <n v="25200"/>
    <n v="5700"/>
  </r>
  <r>
    <s v="T021"/>
    <x v="20"/>
    <x v="0"/>
    <x v="3"/>
    <x v="0"/>
    <s v="Firewall Appliance"/>
    <x v="0"/>
    <s v="Amit"/>
    <n v="2"/>
    <n v="78000"/>
    <n v="140000"/>
    <n v="156000"/>
    <n v="16000"/>
  </r>
  <r>
    <s v="T022"/>
    <x v="21"/>
    <x v="0"/>
    <x v="4"/>
    <x v="1"/>
    <s v="Noise Cancelling Headset"/>
    <x v="1"/>
    <s v="Priya"/>
    <n v="4"/>
    <n v="8500"/>
    <n v="29000"/>
    <n v="34000"/>
    <n v="5000"/>
  </r>
  <r>
    <s v="T023"/>
    <x v="22"/>
    <x v="0"/>
    <x v="0"/>
    <x v="2"/>
    <s v="Desk Organizer"/>
    <x v="3"/>
    <s v="Rahul"/>
    <n v="10"/>
    <n v="950"/>
    <n v="7600"/>
    <n v="9500"/>
    <n v="1900"/>
  </r>
  <r>
    <s v="T024"/>
    <x v="23"/>
    <x v="0"/>
    <x v="1"/>
    <x v="0"/>
    <s v="Smart Display"/>
    <x v="2"/>
    <s v="Vikas"/>
    <n v="3"/>
    <n v="18000"/>
    <n v="47000"/>
    <n v="54000"/>
    <n v="7000"/>
  </r>
  <r>
    <s v="T025"/>
    <x v="24"/>
    <x v="0"/>
    <x v="2"/>
    <x v="1"/>
    <s v="Cable Management Kit"/>
    <x v="0"/>
    <s v="Suman"/>
    <n v="12"/>
    <n v="700"/>
    <n v="6500"/>
    <n v="8400"/>
    <n v="1900"/>
  </r>
  <r>
    <s v="T026"/>
    <x v="25"/>
    <x v="0"/>
    <x v="0"/>
    <x v="0"/>
    <s v="Laptop Air 13"/>
    <x v="1"/>
    <s v="Neha"/>
    <n v="3"/>
    <n v="72000"/>
    <n v="195000"/>
    <n v="216000"/>
    <n v="21000"/>
  </r>
  <r>
    <s v="T027"/>
    <x v="26"/>
    <x v="0"/>
    <x v="3"/>
    <x v="2"/>
    <s v="Server Rack Shelf"/>
    <x v="3"/>
    <s v="Amit"/>
    <n v="5"/>
    <n v="4200"/>
    <n v="17500"/>
    <n v="21000"/>
    <n v="3500"/>
  </r>
  <r>
    <s v="T028"/>
    <x v="27"/>
    <x v="0"/>
    <x v="4"/>
    <x v="1"/>
    <s v="USB Headset"/>
    <x v="2"/>
    <s v="Priya"/>
    <n v="7"/>
    <n v="2400"/>
    <n v="14000"/>
    <n v="16800"/>
    <n v="2800"/>
  </r>
  <r>
    <s v="T029"/>
    <x v="28"/>
    <x v="0"/>
    <x v="1"/>
    <x v="2"/>
    <s v="Whiteboard Markers"/>
    <x v="0"/>
    <s v="Kiran"/>
    <n v="22"/>
    <n v="150"/>
    <n v="2400"/>
    <n v="3300"/>
    <n v="900"/>
  </r>
  <r>
    <s v="T030"/>
    <x v="29"/>
    <x v="0"/>
    <x v="0"/>
    <x v="0"/>
    <s v="Smartwatch Pro"/>
    <x v="1"/>
    <s v="Arjun"/>
    <n v="8"/>
    <n v="19500"/>
    <n v="138000"/>
    <n v="156000"/>
    <n v="18000"/>
  </r>
  <r>
    <s v="T031"/>
    <x v="30"/>
    <x v="1"/>
    <x v="0"/>
    <x v="1"/>
    <s v="Wireless Charger"/>
    <x v="3"/>
    <s v="Rahul"/>
    <n v="11"/>
    <n v="2200"/>
    <n v="18500"/>
    <n v="24200"/>
    <n v="5700"/>
  </r>
  <r>
    <s v="T032"/>
    <x v="31"/>
    <x v="1"/>
    <x v="2"/>
    <x v="0"/>
    <s v="POS Terminal"/>
    <x v="2"/>
    <s v="Suman"/>
    <n v="4"/>
    <n v="34000"/>
    <n v="118000"/>
    <n v="136000"/>
    <n v="18000"/>
  </r>
  <r>
    <s v="T033"/>
    <x v="32"/>
    <x v="1"/>
    <x v="1"/>
    <x v="1"/>
    <s v="Promotional USB"/>
    <x v="0"/>
    <s v="Vikas"/>
    <n v="25"/>
    <n v="650"/>
    <n v="13000"/>
    <n v="16250"/>
    <n v="3250"/>
  </r>
  <r>
    <s v="T034"/>
    <x v="33"/>
    <x v="1"/>
    <x v="3"/>
    <x v="0"/>
    <s v="Backup NAS"/>
    <x v="1"/>
    <s v="Amit"/>
    <n v="2"/>
    <n v="95000"/>
    <n v="175000"/>
    <n v="190000"/>
    <n v="15000"/>
  </r>
  <r>
    <s v="T035"/>
    <x v="34"/>
    <x v="1"/>
    <x v="4"/>
    <x v="2"/>
    <s v="Call Log Register"/>
    <x v="3"/>
    <s v="Priya"/>
    <n v="15"/>
    <n v="300"/>
    <n v="3300"/>
    <n v="4500"/>
    <n v="1200"/>
  </r>
  <r>
    <s v="T036"/>
    <x v="35"/>
    <x v="1"/>
    <x v="0"/>
    <x v="0"/>
    <s v="Gaming Laptop"/>
    <x v="2"/>
    <s v="Neha"/>
    <n v="2"/>
    <n v="125000"/>
    <n v="230000"/>
    <n v="250000"/>
    <n v="20000"/>
  </r>
  <r>
    <s v="T037"/>
    <x v="36"/>
    <x v="1"/>
    <x v="2"/>
    <x v="1"/>
    <s v="Tool Kit"/>
    <x v="0"/>
    <s v="Ramesh"/>
    <n v="6"/>
    <n v="4200"/>
    <n v="21000"/>
    <n v="25200"/>
    <n v="4200"/>
  </r>
  <r>
    <s v="T038"/>
    <x v="37"/>
    <x v="1"/>
    <x v="1"/>
    <x v="0"/>
    <s v="Digital Signage Panel"/>
    <x v="1"/>
    <s v="Kiran"/>
    <n v="1"/>
    <n v="150000"/>
    <n v="138000"/>
    <n v="150000"/>
    <n v="12000"/>
  </r>
  <r>
    <s v="T039"/>
    <x v="38"/>
    <x v="1"/>
    <x v="0"/>
    <x v="2"/>
    <s v="Printer Ink Cartridge"/>
    <x v="3"/>
    <s v="Arjun"/>
    <n v="9"/>
    <n v="3200"/>
    <n v="24000"/>
    <n v="28800"/>
    <n v="4800"/>
  </r>
  <r>
    <s v="T040"/>
    <x v="39"/>
    <x v="1"/>
    <x v="3"/>
    <x v="1"/>
    <s v="SSD External 1TB"/>
    <x v="2"/>
    <s v="Amit"/>
    <n v="4"/>
    <n v="9800"/>
    <n v="34000"/>
    <n v="39200"/>
    <n v="5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5814E4-7D64-447B-A869-93145C522F77}"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27:B30" firstHeaderRow="1" firstDataRow="1" firstDataCol="1"/>
  <pivotFields count="16">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4" showAll="0">
      <items count="3">
        <item x="0"/>
        <item x="1"/>
        <item t="default"/>
      </items>
    </pivotField>
    <pivotField showAll="0">
      <items count="6">
        <item x="4"/>
        <item x="3"/>
        <item x="1"/>
        <item x="2"/>
        <item x="0"/>
        <item t="default"/>
      </items>
    </pivotField>
    <pivotField showAll="0">
      <items count="4">
        <item x="1"/>
        <item x="0"/>
        <item x="2"/>
        <item t="default"/>
      </items>
    </pivotField>
    <pivotField showAll="0"/>
    <pivotField showAll="0">
      <items count="5">
        <item x="3"/>
        <item x="0"/>
        <item x="1"/>
        <item x="2"/>
        <item t="default"/>
      </items>
    </pivotField>
    <pivotField showAll="0"/>
    <pivotField numFmtId="2" showAll="0"/>
    <pivotField numFmtId="44" showAll="0"/>
    <pivotField numFmtId="44" showAll="0"/>
    <pivotField dataField="1" numFmtId="44" showAll="0"/>
    <pivotField numFmtId="44" showAll="0"/>
    <pivotField showAll="0" defaultSubtotal="0">
      <items count="2">
        <item x="0"/>
        <item x="1"/>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3">
    <i>
      <x v="1"/>
    </i>
    <i>
      <x v="2"/>
    </i>
    <i t="grand">
      <x/>
    </i>
  </rowItems>
  <colItems count="1">
    <i/>
  </colItems>
  <dataFields count="1">
    <dataField name="Monthly Revenue Trend" fld="11" baseField="15" baseItem="1" numFmtId="4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6D543D-3AC1-48D4-BABD-34A2E8D841F3}" name="PivotTable2"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ategories">
  <location ref="A12:B16" firstHeaderRow="1" firstDataRow="1" firstDataCol="1"/>
  <pivotFields count="16">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4" showAll="0">
      <items count="3">
        <item x="0"/>
        <item x="1"/>
        <item t="default"/>
      </items>
    </pivotField>
    <pivotField showAll="0">
      <items count="6">
        <item x="4"/>
        <item x="3"/>
        <item x="1"/>
        <item x="2"/>
        <item x="0"/>
        <item t="default"/>
      </items>
    </pivotField>
    <pivotField axis="axisRow" showAll="0">
      <items count="4">
        <item x="1"/>
        <item x="0"/>
        <item x="2"/>
        <item t="default"/>
      </items>
    </pivotField>
    <pivotField showAll="0"/>
    <pivotField showAll="0">
      <items count="5">
        <item x="3"/>
        <item x="0"/>
        <item x="1"/>
        <item x="2"/>
        <item t="default"/>
      </items>
    </pivotField>
    <pivotField showAll="0"/>
    <pivotField numFmtId="2" showAll="0"/>
    <pivotField numFmtId="44" showAll="0"/>
    <pivotField numFmtId="44" showAll="0"/>
    <pivotField numFmtId="44" showAll="0"/>
    <pivotField dataField="1" numFmtId="44"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Items count="1">
    <i/>
  </colItems>
  <dataFields count="1">
    <dataField name="Profit by Category" fld="12" baseField="4" baseItem="0" numFmtId="44"/>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2" type="dateBetween" evalOrder="-1" id="78" name="Month_start">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EA6462-CB75-47F2-916C-AA0F7A64D686}" name="PivotTable1"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Departments">
  <location ref="A3:B9" firstHeaderRow="1" firstDataRow="1" firstDataCol="1"/>
  <pivotFields count="16">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4" showAll="0">
      <items count="3">
        <item x="0"/>
        <item x="1"/>
        <item t="default"/>
      </items>
    </pivotField>
    <pivotField axis="axisRow"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items count="5">
        <item x="3"/>
        <item x="0"/>
        <item x="1"/>
        <item x="2"/>
        <item t="default"/>
      </items>
    </pivotField>
    <pivotField showAll="0"/>
    <pivotField numFmtId="2" showAll="0"/>
    <pivotField numFmtId="44" showAll="0"/>
    <pivotField numFmtId="44" showAll="0"/>
    <pivotField dataField="1" numFmtId="44" showAll="0"/>
    <pivotField numFmtId="44"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6">
    <i>
      <x v="4"/>
    </i>
    <i>
      <x v="3"/>
    </i>
    <i>
      <x v="1"/>
    </i>
    <i>
      <x v="2"/>
    </i>
    <i>
      <x/>
    </i>
    <i t="grand">
      <x/>
    </i>
  </rowItems>
  <colItems count="1">
    <i/>
  </colItems>
  <dataFields count="1">
    <dataField name="Department Revenue" fld="11" baseField="2" baseItem="0" numFmtId="44"/>
  </dataFields>
  <chartFormats count="1">
    <chartFormat chart="7"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2" type="dateBetween" evalOrder="-1" id="78" name="Month_start">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F34DCC-06F3-4DEF-9FA7-BE569F0C7664}"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Region">
  <location ref="A20:B25" firstHeaderRow="1" firstDataRow="1" firstDataCol="1"/>
  <pivotFields count="16">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4" showAll="0">
      <items count="3">
        <item x="0"/>
        <item x="1"/>
        <item t="default"/>
      </items>
    </pivotField>
    <pivotField showAll="0">
      <items count="6">
        <item x="4"/>
        <item x="3"/>
        <item x="1"/>
        <item x="2"/>
        <item x="0"/>
        <item t="default"/>
      </items>
    </pivotField>
    <pivotField showAll="0">
      <items count="4">
        <item x="1"/>
        <item x="0"/>
        <item x="2"/>
        <item t="default"/>
      </items>
    </pivotField>
    <pivotField showAll="0"/>
    <pivotField axis="axisRow" showAll="0">
      <items count="5">
        <item x="3"/>
        <item x="0"/>
        <item x="1"/>
        <item x="2"/>
        <item t="default"/>
      </items>
    </pivotField>
    <pivotField showAll="0"/>
    <pivotField numFmtId="2" showAll="0"/>
    <pivotField numFmtId="44" showAll="0"/>
    <pivotField numFmtId="44" showAll="0"/>
    <pivotField dataField="1" numFmtId="44" showAll="0"/>
    <pivotField numFmtId="44" showAll="0"/>
    <pivotField showAll="0">
      <items count="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5">
    <i>
      <x/>
    </i>
    <i>
      <x v="1"/>
    </i>
    <i>
      <x v="2"/>
    </i>
    <i>
      <x v="3"/>
    </i>
    <i t="grand">
      <x/>
    </i>
  </rowItems>
  <colItems count="1">
    <i/>
  </colItems>
  <dataFields count="1">
    <dataField name="Revenue by Region" fld="11" baseField="6" baseItem="0" numFmtId="44"/>
  </dataFields>
  <chartFormats count="1">
    <chartFormat chart="9"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2" type="dateBetween" evalOrder="-1" id="78" name="Month_start">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C1A3F1-B456-455D-A355-D4FD1163EC1F}" name="PivotTable4"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D3:G4" firstHeaderRow="0" firstDataRow="1" firstDataCol="0"/>
  <pivotFields count="16">
    <pivotField dataField="1"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umFmtId="164" showAll="0">
      <items count="3">
        <item x="0"/>
        <item x="1"/>
        <item t="default"/>
      </items>
    </pivotField>
    <pivotField showAll="0">
      <items count="6">
        <item x="4"/>
        <item x="3"/>
        <item x="1"/>
        <item x="2"/>
        <item x="0"/>
        <item t="default"/>
      </items>
    </pivotField>
    <pivotField showAll="0">
      <items count="4">
        <item x="1"/>
        <item x="0"/>
        <item x="2"/>
        <item t="default"/>
      </items>
    </pivotField>
    <pivotField showAll="0"/>
    <pivotField showAll="0">
      <items count="5">
        <item x="3"/>
        <item x="0"/>
        <item x="1"/>
        <item x="2"/>
        <item t="default"/>
      </items>
    </pivotField>
    <pivotField showAll="0"/>
    <pivotField dataField="1" numFmtId="2" showAll="0"/>
    <pivotField numFmtId="44" showAll="0"/>
    <pivotField numFmtId="44" showAll="0"/>
    <pivotField dataField="1" numFmtId="44" showAll="0"/>
    <pivotField dataField="1" numFmtId="44" showAll="0"/>
    <pivotField showAll="0" defaultSubtotal="0">
      <items count="2">
        <item x="0"/>
        <item x="1"/>
      </items>
    </pivotField>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4">
    <i>
      <x/>
    </i>
    <i i="1">
      <x v="1"/>
    </i>
    <i i="2">
      <x v="2"/>
    </i>
    <i i="3">
      <x v="3"/>
    </i>
  </colItems>
  <dataFields count="4">
    <dataField name="Total Revenue" fld="11" baseField="0" baseItem="1" numFmtId="44"/>
    <dataField name="Total Profit" fld="12" baseField="0" baseItem="1" numFmtId="44"/>
    <dataField name="Total Units Sold" fld="8" baseField="0" baseItem="2" numFmtId="2"/>
    <dataField name="AVERAGE ORDER VALUE" fld="0" subtotal="count" baseField="0" baseItem="3"/>
  </dataFields>
  <pivotTableStyleInfo name="PivotStyleLight16" showRowHeaders="1" showColHeaders="1" showRowStripes="0" showColStripes="0" showLastColumn="1"/>
  <filters count="1">
    <filter fld="2" type="dateBetween" evalOrder="-1" id="78" name="Month_start">
      <autoFilter ref="A1">
        <filterColumn colId="0">
          <customFilters and="1">
            <customFilter operator="greaterThanOrEqual" val="45323"/>
            <customFilter operator="lessThanOrEqual" val="4535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144A0BB-CF91-40DD-B30A-C35F6EF23402}" sourceName="Category">
  <pivotTables>
    <pivotTable tabId="3" name="PivotTable1"/>
    <pivotTable tabId="3" name="PivotTable2"/>
    <pivotTable tabId="3" name="PivotTable3"/>
    <pivotTable tabId="3" name="PivotTable4"/>
    <pivotTable tabId="3" name="PivotTable5"/>
  </pivotTables>
  <data>
    <tabular pivotCacheId="187327650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F9500C-496B-49CE-928E-5A11439164E7}" sourceName="Region">
  <pivotTables>
    <pivotTable tabId="3" name="PivotTable1"/>
    <pivotTable tabId="3" name="PivotTable2"/>
    <pivotTable tabId="3" name="PivotTable3"/>
    <pivotTable tabId="3" name="PivotTable4"/>
    <pivotTable tabId="3" name="PivotTable5"/>
  </pivotTables>
  <data>
    <tabular pivotCacheId="1873276500">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B3F88C-7EDC-4A3B-998B-323E0E23F201}" sourceName="Department">
  <pivotTables>
    <pivotTable tabId="3" name="PivotTable1"/>
    <pivotTable tabId="3" name="PivotTable2"/>
    <pivotTable tabId="3" name="PivotTable3"/>
    <pivotTable tabId="3" name="PivotTable4"/>
    <pivotTable tabId="3" name="PivotTable5"/>
  </pivotTables>
  <data>
    <tabular pivotCacheId="1873276500">
      <items count="5">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4606D21-BDB0-41B1-865C-34CBC827C5B1}" cache="Slicer_Category" caption="Category" style="SlicerStyleLight5" rowHeight="234950"/>
  <slicer name="Region" xr10:uid="{8B6085D9-7500-4396-AC85-0460FBA22337}" cache="Slicer_Region" caption="Region" columnCount="2" style="SlicerStyleLight5" rowHeight="234950"/>
  <slicer name="Department" xr10:uid="{2DC5AD74-6EFF-45F8-BDD4-E19993E1F5E5}" cache="Slicer_Department" caption="Department"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0B6328-B162-4CC0-95C5-FF5E4454C2B3}" name="Table1" displayName="Table1" ref="A1:M41" totalsRowShown="0" headerRowDxfId="7">
  <autoFilter ref="A1:M41" xr:uid="{5D0B6328-B162-4CC0-95C5-FF5E4454C2B3}"/>
  <tableColumns count="13">
    <tableColumn id="1" xr3:uid="{32516D44-384F-419B-9174-AA9731468C4C}" name="TransactionID"/>
    <tableColumn id="2" xr3:uid="{137F4829-6E95-4CC6-A607-BF855C94B969}" name="Date" dataDxfId="6"/>
    <tableColumn id="15" xr3:uid="{4887A563-F9D9-400D-AEDF-393B534F0FD4}" name="Month_start" dataDxfId="5">
      <calculatedColumnFormula>DATE(YEAR(Table1[[#This Row],[Date]]), MONTH(Table1[[#This Row],[Date]]), 1)</calculatedColumnFormula>
    </tableColumn>
    <tableColumn id="3" xr3:uid="{C5DA10FD-359E-46DD-943A-E8AA6C60E352}" name="Department"/>
    <tableColumn id="4" xr3:uid="{E06D45C1-D8C7-48A0-97B7-AAEA1BFEF227}" name="Category"/>
    <tableColumn id="5" xr3:uid="{CB8079E1-2BC3-439B-BB2F-EC6CD50E7A56}" name="ProductName"/>
    <tableColumn id="6" xr3:uid="{26DC48C0-47DC-4D91-B1C3-5D217707194E}" name="Region"/>
    <tableColumn id="7" xr3:uid="{A053E01C-C1C0-4D40-9DCE-556FEF60E66D}" name="SalesPerson"/>
    <tableColumn id="8" xr3:uid="{DD0AB9BB-0BE7-4217-9016-F2A606FEEA2D}" name="UnitsSold" dataDxfId="4"/>
    <tableColumn id="9" xr3:uid="{18E4D3B7-DC6C-4601-832A-89E39BAE0AA9}" name="UnitPrice" dataDxfId="3"/>
    <tableColumn id="11" xr3:uid="{BCFC4266-B15A-4A4C-B0BD-F7B42101D240}" name="Cost" dataDxfId="2"/>
    <tableColumn id="13" xr3:uid="{0E0A9B12-9F97-42A8-BEF0-0E06CF9F8A87}" name="Revenue" dataDxfId="1">
      <calculatedColumnFormula>Table1[[#This Row],[UnitsSold]]*Table1[[#This Row],[UnitPrice]]</calculatedColumnFormula>
    </tableColumn>
    <tableColumn id="14" xr3:uid="{65D504E0-F33D-4586-926D-795799D1C3DF}" name="Profit" dataDxfId="0">
      <calculatedColumnFormula>Table1[[#This Row],[Revenue]]-Table1[[#This Row],[Cost]]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4D85B-9B1C-49AC-BCB2-338011D0B470}">
  <dimension ref="A1:M42"/>
  <sheetViews>
    <sheetView tabSelected="1" workbookViewId="0"/>
  </sheetViews>
  <sheetFormatPr defaultRowHeight="14.4" x14ac:dyDescent="0.3"/>
  <sheetData>
    <row r="1" spans="1:13" x14ac:dyDescent="0.3">
      <c r="A1" t="s">
        <v>171</v>
      </c>
      <c r="B1" t="s">
        <v>172</v>
      </c>
      <c r="C1" t="s">
        <v>173</v>
      </c>
      <c r="D1" t="s">
        <v>174</v>
      </c>
      <c r="E1" t="s">
        <v>175</v>
      </c>
      <c r="F1" t="s">
        <v>176</v>
      </c>
      <c r="G1" t="s">
        <v>177</v>
      </c>
      <c r="H1" t="s">
        <v>178</v>
      </c>
      <c r="I1" t="s">
        <v>179</v>
      </c>
      <c r="J1" t="s">
        <v>180</v>
      </c>
      <c r="K1" t="s">
        <v>181</v>
      </c>
      <c r="L1" t="s">
        <v>182</v>
      </c>
      <c r="M1" t="s">
        <v>183</v>
      </c>
    </row>
    <row r="2" spans="1:13" x14ac:dyDescent="0.3">
      <c r="A2" t="s">
        <v>184</v>
      </c>
      <c r="B2" t="s">
        <v>185</v>
      </c>
      <c r="C2" t="s">
        <v>232</v>
      </c>
      <c r="D2" t="s">
        <v>186</v>
      </c>
      <c r="E2" t="s">
        <v>187</v>
      </c>
      <c r="F2" t="s">
        <v>188</v>
      </c>
      <c r="G2" t="s">
        <v>223</v>
      </c>
      <c r="H2" t="s">
        <v>190</v>
      </c>
      <c r="I2">
        <v>2</v>
      </c>
      <c r="J2" t="s">
        <v>191</v>
      </c>
      <c r="K2">
        <v>170000</v>
      </c>
      <c r="L2">
        <v>145000</v>
      </c>
      <c r="M2">
        <v>25000</v>
      </c>
    </row>
    <row r="3" spans="1:13" x14ac:dyDescent="0.3">
      <c r="A3" t="s">
        <v>192</v>
      </c>
      <c r="B3" t="s">
        <v>193</v>
      </c>
      <c r="C3" t="s">
        <v>232</v>
      </c>
      <c r="D3" t="s">
        <v>194</v>
      </c>
      <c r="E3" t="s">
        <v>195</v>
      </c>
      <c r="F3" t="s">
        <v>196</v>
      </c>
      <c r="G3" t="s">
        <v>233</v>
      </c>
      <c r="H3" t="s">
        <v>198</v>
      </c>
      <c r="I3" t="s">
        <v>199</v>
      </c>
      <c r="J3">
        <v>1200</v>
      </c>
      <c r="K3">
        <v>14400</v>
      </c>
      <c r="L3">
        <v>9000</v>
      </c>
      <c r="M3">
        <v>5400</v>
      </c>
    </row>
    <row r="4" spans="1:13" x14ac:dyDescent="0.3">
      <c r="A4" t="s">
        <v>200</v>
      </c>
      <c r="B4" t="s">
        <v>201</v>
      </c>
      <c r="C4" t="s">
        <v>232</v>
      </c>
      <c r="D4" t="s">
        <v>202</v>
      </c>
      <c r="E4" t="s">
        <v>203</v>
      </c>
      <c r="F4" t="s">
        <v>204</v>
      </c>
      <c r="G4" t="s">
        <v>205</v>
      </c>
      <c r="H4" t="s">
        <v>206</v>
      </c>
      <c r="I4">
        <v>40</v>
      </c>
      <c r="J4">
        <v>85</v>
      </c>
      <c r="K4">
        <v>3400</v>
      </c>
      <c r="L4">
        <v>2600</v>
      </c>
      <c r="M4">
        <v>800</v>
      </c>
    </row>
    <row r="5" spans="1:13" x14ac:dyDescent="0.3">
      <c r="A5" t="s">
        <v>207</v>
      </c>
      <c r="B5" t="s">
        <v>208</v>
      </c>
      <c r="C5" t="s">
        <v>232</v>
      </c>
      <c r="D5" t="s">
        <v>209</v>
      </c>
      <c r="E5" t="s">
        <v>210</v>
      </c>
      <c r="F5" t="s">
        <v>211</v>
      </c>
      <c r="G5" t="s">
        <v>212</v>
      </c>
      <c r="H5" t="s">
        <v>213</v>
      </c>
      <c r="I5">
        <v>3</v>
      </c>
      <c r="J5">
        <v>65000</v>
      </c>
      <c r="K5">
        <v>195000</v>
      </c>
      <c r="L5">
        <v>168000</v>
      </c>
      <c r="M5">
        <v>27000</v>
      </c>
    </row>
    <row r="6" spans="1:13" x14ac:dyDescent="0.3">
      <c r="A6" t="s">
        <v>214</v>
      </c>
      <c r="B6" t="s">
        <v>215</v>
      </c>
      <c r="C6" t="s">
        <v>232</v>
      </c>
      <c r="D6" t="s">
        <v>194</v>
      </c>
      <c r="E6" t="s">
        <v>216</v>
      </c>
      <c r="F6" t="s">
        <v>217</v>
      </c>
      <c r="G6" t="s">
        <v>218</v>
      </c>
      <c r="H6" t="s">
        <v>219</v>
      </c>
      <c r="I6">
        <v>8</v>
      </c>
      <c r="J6">
        <v>2500</v>
      </c>
      <c r="K6">
        <v>20000</v>
      </c>
      <c r="L6">
        <v>14000</v>
      </c>
      <c r="M6">
        <v>6000</v>
      </c>
    </row>
    <row r="7" spans="1:13" x14ac:dyDescent="0.3">
      <c r="A7" t="s">
        <v>220</v>
      </c>
      <c r="B7" t="s">
        <v>221</v>
      </c>
      <c r="C7" t="s">
        <v>232</v>
      </c>
      <c r="D7" t="s">
        <v>194</v>
      </c>
      <c r="E7" t="s">
        <v>210</v>
      </c>
      <c r="F7" t="s">
        <v>234</v>
      </c>
      <c r="G7" t="s">
        <v>189</v>
      </c>
      <c r="H7" t="s">
        <v>190</v>
      </c>
      <c r="I7">
        <v>1</v>
      </c>
      <c r="J7">
        <v>72000</v>
      </c>
      <c r="K7">
        <v>72000</v>
      </c>
      <c r="L7">
        <v>61000</v>
      </c>
      <c r="M7">
        <v>11000</v>
      </c>
    </row>
    <row r="8" spans="1:13" x14ac:dyDescent="0.3">
      <c r="A8" t="s">
        <v>224</v>
      </c>
      <c r="B8" t="s">
        <v>225</v>
      </c>
      <c r="C8" t="s">
        <v>232</v>
      </c>
      <c r="D8" t="s">
        <v>235</v>
      </c>
      <c r="E8" t="s">
        <v>210</v>
      </c>
      <c r="F8" t="s">
        <v>236</v>
      </c>
      <c r="G8" t="s">
        <v>237</v>
      </c>
      <c r="H8" t="s">
        <v>238</v>
      </c>
      <c r="I8">
        <v>10</v>
      </c>
      <c r="J8" t="s">
        <v>239</v>
      </c>
      <c r="K8">
        <v>15000</v>
      </c>
      <c r="L8">
        <v>11000</v>
      </c>
      <c r="M8">
        <v>4000</v>
      </c>
    </row>
    <row r="9" spans="1:13" x14ac:dyDescent="0.3">
      <c r="A9" t="s">
        <v>227</v>
      </c>
      <c r="B9" t="s">
        <v>240</v>
      </c>
      <c r="C9" t="s">
        <v>232</v>
      </c>
      <c r="D9" t="s">
        <v>194</v>
      </c>
      <c r="E9" t="s">
        <v>210</v>
      </c>
      <c r="F9" t="s">
        <v>241</v>
      </c>
      <c r="G9" t="s">
        <v>205</v>
      </c>
      <c r="H9" t="s">
        <v>242</v>
      </c>
      <c r="I9">
        <v>4</v>
      </c>
      <c r="J9">
        <v>42000</v>
      </c>
      <c r="K9">
        <v>168000</v>
      </c>
      <c r="L9">
        <v>150000</v>
      </c>
      <c r="M9">
        <v>18000</v>
      </c>
    </row>
    <row r="10" spans="1:13" x14ac:dyDescent="0.3">
      <c r="A10" t="s">
        <v>229</v>
      </c>
      <c r="B10" t="s">
        <v>243</v>
      </c>
      <c r="C10" t="s">
        <v>232</v>
      </c>
      <c r="D10" t="s">
        <v>202</v>
      </c>
      <c r="E10" t="s">
        <v>195</v>
      </c>
      <c r="F10" t="s">
        <v>244</v>
      </c>
      <c r="G10" t="s">
        <v>218</v>
      </c>
      <c r="H10" t="s">
        <v>245</v>
      </c>
      <c r="I10">
        <v>20</v>
      </c>
      <c r="J10">
        <v>900</v>
      </c>
      <c r="K10">
        <v>18000</v>
      </c>
      <c r="L10">
        <v>13500</v>
      </c>
      <c r="M10">
        <v>4500</v>
      </c>
    </row>
    <row r="11" spans="1:13" x14ac:dyDescent="0.3">
      <c r="A11" t="s">
        <v>229</v>
      </c>
      <c r="B11" t="s">
        <v>243</v>
      </c>
      <c r="C11" t="s">
        <v>232</v>
      </c>
      <c r="D11" t="s">
        <v>202</v>
      </c>
      <c r="E11" t="s">
        <v>195</v>
      </c>
      <c r="F11" t="s">
        <v>244</v>
      </c>
      <c r="G11" t="s">
        <v>218</v>
      </c>
      <c r="H11" t="s">
        <v>245</v>
      </c>
      <c r="I11">
        <v>20</v>
      </c>
      <c r="J11">
        <v>900</v>
      </c>
      <c r="K11">
        <v>18000</v>
      </c>
      <c r="L11">
        <v>13500</v>
      </c>
      <c r="M11">
        <v>4500</v>
      </c>
    </row>
    <row r="12" spans="1:13" x14ac:dyDescent="0.3">
      <c r="A12" t="s">
        <v>231</v>
      </c>
      <c r="B12" t="s">
        <v>246</v>
      </c>
      <c r="C12" t="s">
        <v>232</v>
      </c>
      <c r="D12" t="s">
        <v>228</v>
      </c>
      <c r="E12" t="s">
        <v>226</v>
      </c>
      <c r="F12" t="s">
        <v>247</v>
      </c>
      <c r="G12" t="s">
        <v>197</v>
      </c>
      <c r="H12" t="s">
        <v>248</v>
      </c>
      <c r="I12">
        <v>5</v>
      </c>
      <c r="J12">
        <v>7600</v>
      </c>
      <c r="K12">
        <v>38000</v>
      </c>
      <c r="L12">
        <v>31000</v>
      </c>
      <c r="M12">
        <v>7000</v>
      </c>
    </row>
    <row r="13" spans="1:13" x14ac:dyDescent="0.3">
      <c r="A13" t="s">
        <v>249</v>
      </c>
      <c r="B13" t="s">
        <v>250</v>
      </c>
      <c r="C13" t="s">
        <v>232</v>
      </c>
      <c r="D13" t="s">
        <v>194</v>
      </c>
      <c r="E13" t="s">
        <v>210</v>
      </c>
      <c r="F13" t="s">
        <v>222</v>
      </c>
      <c r="G13" t="s">
        <v>212</v>
      </c>
      <c r="H13" t="s">
        <v>190</v>
      </c>
      <c r="I13">
        <v>6</v>
      </c>
      <c r="J13">
        <v>55000</v>
      </c>
      <c r="K13">
        <v>330000</v>
      </c>
      <c r="L13">
        <v>300000</v>
      </c>
      <c r="M13">
        <v>30000</v>
      </c>
    </row>
    <row r="14" spans="1:13" x14ac:dyDescent="0.3">
      <c r="A14" t="s">
        <v>251</v>
      </c>
      <c r="B14" t="s">
        <v>252</v>
      </c>
      <c r="C14" t="s">
        <v>232</v>
      </c>
      <c r="D14" t="s">
        <v>194</v>
      </c>
      <c r="E14" t="s">
        <v>195</v>
      </c>
      <c r="F14" t="s">
        <v>253</v>
      </c>
      <c r="G14" t="s">
        <v>205</v>
      </c>
      <c r="H14" t="s">
        <v>198</v>
      </c>
      <c r="I14">
        <v>9</v>
      </c>
      <c r="J14">
        <v>2800</v>
      </c>
      <c r="K14">
        <v>25200</v>
      </c>
      <c r="L14">
        <v>19000</v>
      </c>
      <c r="M14">
        <v>6200</v>
      </c>
    </row>
    <row r="15" spans="1:13" x14ac:dyDescent="0.3">
      <c r="A15" t="s">
        <v>254</v>
      </c>
      <c r="B15" t="s">
        <v>255</v>
      </c>
      <c r="C15" t="s">
        <v>232</v>
      </c>
      <c r="D15" t="s">
        <v>202</v>
      </c>
      <c r="E15" t="s">
        <v>226</v>
      </c>
      <c r="F15" t="s">
        <v>256</v>
      </c>
      <c r="G15" t="s">
        <v>189</v>
      </c>
      <c r="H15" t="s">
        <v>206</v>
      </c>
      <c r="I15">
        <v>30</v>
      </c>
      <c r="J15">
        <v>120</v>
      </c>
      <c r="K15">
        <v>3600</v>
      </c>
      <c r="L15">
        <v>2500</v>
      </c>
      <c r="M15">
        <v>1100</v>
      </c>
    </row>
    <row r="16" spans="1:13" x14ac:dyDescent="0.3">
      <c r="A16" t="s">
        <v>257</v>
      </c>
      <c r="B16" t="s">
        <v>258</v>
      </c>
      <c r="C16" t="s">
        <v>232</v>
      </c>
      <c r="D16" t="s">
        <v>259</v>
      </c>
      <c r="E16" t="s">
        <v>210</v>
      </c>
      <c r="F16" t="s">
        <v>260</v>
      </c>
      <c r="G16" t="s">
        <v>230</v>
      </c>
      <c r="H16" t="s">
        <v>213</v>
      </c>
      <c r="I16">
        <v>4</v>
      </c>
      <c r="J16">
        <v>18000</v>
      </c>
      <c r="K16">
        <v>72000</v>
      </c>
      <c r="L16">
        <v>60000</v>
      </c>
      <c r="M16">
        <v>12000</v>
      </c>
    </row>
    <row r="17" spans="1:13" x14ac:dyDescent="0.3">
      <c r="A17" t="s">
        <v>261</v>
      </c>
      <c r="B17" t="s">
        <v>262</v>
      </c>
      <c r="C17" t="s">
        <v>232</v>
      </c>
      <c r="D17" t="s">
        <v>235</v>
      </c>
      <c r="E17" t="s">
        <v>195</v>
      </c>
      <c r="F17" t="s">
        <v>263</v>
      </c>
      <c r="G17" t="s">
        <v>212</v>
      </c>
      <c r="H17" t="s">
        <v>264</v>
      </c>
      <c r="I17">
        <v>15</v>
      </c>
      <c r="J17">
        <v>600</v>
      </c>
      <c r="K17">
        <v>9000</v>
      </c>
      <c r="L17">
        <v>7000</v>
      </c>
      <c r="M17">
        <v>2000</v>
      </c>
    </row>
    <row r="18" spans="1:13" x14ac:dyDescent="0.3">
      <c r="A18" t="s">
        <v>265</v>
      </c>
      <c r="B18" t="s">
        <v>266</v>
      </c>
      <c r="C18" t="s">
        <v>232</v>
      </c>
      <c r="D18" t="s">
        <v>267</v>
      </c>
      <c r="E18" t="s">
        <v>226</v>
      </c>
      <c r="F18" t="s">
        <v>268</v>
      </c>
      <c r="G18" t="s">
        <v>269</v>
      </c>
      <c r="H18" t="s">
        <v>238</v>
      </c>
      <c r="I18">
        <v>18</v>
      </c>
      <c r="J18">
        <v>350</v>
      </c>
      <c r="K18">
        <v>6300</v>
      </c>
      <c r="L18">
        <v>4800</v>
      </c>
      <c r="M18">
        <v>1500</v>
      </c>
    </row>
    <row r="19" spans="1:13" x14ac:dyDescent="0.3">
      <c r="A19" t="s">
        <v>270</v>
      </c>
      <c r="B19" t="s">
        <v>271</v>
      </c>
      <c r="C19" t="s">
        <v>232</v>
      </c>
      <c r="D19" t="s">
        <v>194</v>
      </c>
      <c r="E19" t="s">
        <v>210</v>
      </c>
      <c r="F19" t="s">
        <v>272</v>
      </c>
      <c r="G19" t="s">
        <v>218</v>
      </c>
      <c r="H19" t="s">
        <v>273</v>
      </c>
      <c r="I19">
        <v>7</v>
      </c>
      <c r="J19">
        <v>22000</v>
      </c>
      <c r="K19">
        <v>154000</v>
      </c>
      <c r="L19">
        <v>133000</v>
      </c>
      <c r="M19">
        <v>21000</v>
      </c>
    </row>
    <row r="20" spans="1:13" x14ac:dyDescent="0.3">
      <c r="A20" t="s">
        <v>274</v>
      </c>
      <c r="B20" t="s">
        <v>275</v>
      </c>
      <c r="C20" t="s">
        <v>232</v>
      </c>
      <c r="D20" t="s">
        <v>202</v>
      </c>
      <c r="E20" t="s">
        <v>195</v>
      </c>
      <c r="F20" t="s">
        <v>276</v>
      </c>
      <c r="G20" t="s">
        <v>230</v>
      </c>
      <c r="H20" t="s">
        <v>245</v>
      </c>
      <c r="I20">
        <v>6</v>
      </c>
      <c r="J20">
        <v>4200</v>
      </c>
      <c r="K20">
        <v>25200</v>
      </c>
      <c r="L20">
        <v>21000</v>
      </c>
      <c r="M20">
        <v>4200</v>
      </c>
    </row>
    <row r="21" spans="1:13" x14ac:dyDescent="0.3">
      <c r="A21" t="s">
        <v>277</v>
      </c>
      <c r="B21" t="s">
        <v>278</v>
      </c>
      <c r="C21" t="s">
        <v>232</v>
      </c>
      <c r="D21" t="s">
        <v>228</v>
      </c>
      <c r="E21" t="s">
        <v>226</v>
      </c>
      <c r="F21" t="s">
        <v>279</v>
      </c>
      <c r="G21" t="s">
        <v>212</v>
      </c>
      <c r="H21" t="s">
        <v>248</v>
      </c>
      <c r="I21">
        <v>3</v>
      </c>
      <c r="J21">
        <v>12500</v>
      </c>
      <c r="K21">
        <v>37500</v>
      </c>
      <c r="L21">
        <v>32000</v>
      </c>
      <c r="M21">
        <v>5500</v>
      </c>
    </row>
    <row r="22" spans="1:13" x14ac:dyDescent="0.3">
      <c r="A22" t="s">
        <v>280</v>
      </c>
      <c r="B22" t="s">
        <v>281</v>
      </c>
      <c r="C22" t="s">
        <v>232</v>
      </c>
      <c r="D22" t="s">
        <v>194</v>
      </c>
      <c r="E22" t="s">
        <v>195</v>
      </c>
      <c r="F22" t="s">
        <v>282</v>
      </c>
      <c r="G22" t="s">
        <v>205</v>
      </c>
      <c r="H22" t="s">
        <v>242</v>
      </c>
      <c r="I22">
        <v>14</v>
      </c>
      <c r="J22">
        <v>1800</v>
      </c>
      <c r="K22">
        <v>25200</v>
      </c>
      <c r="L22">
        <v>19500</v>
      </c>
      <c r="M22">
        <v>5700</v>
      </c>
    </row>
    <row r="23" spans="1:13" x14ac:dyDescent="0.3">
      <c r="A23" t="s">
        <v>283</v>
      </c>
      <c r="B23" t="s">
        <v>284</v>
      </c>
      <c r="C23" t="s">
        <v>232</v>
      </c>
      <c r="D23" t="s">
        <v>235</v>
      </c>
      <c r="E23" t="s">
        <v>210</v>
      </c>
      <c r="F23" t="s">
        <v>285</v>
      </c>
      <c r="G23" t="s">
        <v>223</v>
      </c>
      <c r="H23" t="s">
        <v>264</v>
      </c>
      <c r="I23">
        <v>2</v>
      </c>
      <c r="J23">
        <v>78000</v>
      </c>
      <c r="K23">
        <v>156000</v>
      </c>
      <c r="L23">
        <v>140000</v>
      </c>
      <c r="M23">
        <v>16000</v>
      </c>
    </row>
    <row r="24" spans="1:13" x14ac:dyDescent="0.3">
      <c r="A24" t="s">
        <v>286</v>
      </c>
      <c r="B24" t="s">
        <v>287</v>
      </c>
      <c r="C24" t="s">
        <v>232</v>
      </c>
      <c r="D24" t="s">
        <v>267</v>
      </c>
      <c r="E24" t="s">
        <v>195</v>
      </c>
      <c r="F24" t="s">
        <v>288</v>
      </c>
      <c r="G24" t="s">
        <v>230</v>
      </c>
      <c r="H24" t="s">
        <v>238</v>
      </c>
      <c r="I24">
        <v>4</v>
      </c>
      <c r="J24">
        <v>8500</v>
      </c>
      <c r="K24">
        <v>34000</v>
      </c>
      <c r="L24">
        <v>29000</v>
      </c>
      <c r="M24">
        <v>5000</v>
      </c>
    </row>
    <row r="25" spans="1:13" x14ac:dyDescent="0.3">
      <c r="A25" t="s">
        <v>289</v>
      </c>
      <c r="B25" t="s">
        <v>290</v>
      </c>
      <c r="C25" t="s">
        <v>232</v>
      </c>
      <c r="D25" t="s">
        <v>194</v>
      </c>
      <c r="E25" t="s">
        <v>226</v>
      </c>
      <c r="F25" t="s">
        <v>291</v>
      </c>
      <c r="G25" t="s">
        <v>212</v>
      </c>
      <c r="H25" t="s">
        <v>190</v>
      </c>
      <c r="I25">
        <v>10</v>
      </c>
      <c r="J25">
        <v>950</v>
      </c>
      <c r="K25">
        <v>9500</v>
      </c>
      <c r="L25">
        <v>7600</v>
      </c>
      <c r="M25">
        <v>1900</v>
      </c>
    </row>
    <row r="26" spans="1:13" x14ac:dyDescent="0.3">
      <c r="A26" t="s">
        <v>292</v>
      </c>
      <c r="B26" t="s">
        <v>293</v>
      </c>
      <c r="C26" t="s">
        <v>232</v>
      </c>
      <c r="D26" t="s">
        <v>202</v>
      </c>
      <c r="E26" t="s">
        <v>210</v>
      </c>
      <c r="F26" t="s">
        <v>294</v>
      </c>
      <c r="G26" t="s">
        <v>205</v>
      </c>
      <c r="H26" t="s">
        <v>206</v>
      </c>
      <c r="I26">
        <v>3</v>
      </c>
      <c r="J26">
        <v>18000</v>
      </c>
      <c r="K26">
        <v>54000</v>
      </c>
      <c r="L26">
        <v>47000</v>
      </c>
      <c r="M26">
        <v>7000</v>
      </c>
    </row>
    <row r="27" spans="1:13" x14ac:dyDescent="0.3">
      <c r="A27" t="s">
        <v>295</v>
      </c>
      <c r="B27" t="s">
        <v>296</v>
      </c>
      <c r="C27" t="s">
        <v>232</v>
      </c>
      <c r="D27" t="s">
        <v>228</v>
      </c>
      <c r="E27" t="s">
        <v>195</v>
      </c>
      <c r="F27" t="s">
        <v>297</v>
      </c>
      <c r="G27" t="s">
        <v>189</v>
      </c>
      <c r="H27" t="s">
        <v>213</v>
      </c>
      <c r="I27">
        <v>12</v>
      </c>
      <c r="J27">
        <v>700</v>
      </c>
      <c r="K27">
        <v>8400</v>
      </c>
      <c r="L27">
        <v>6500</v>
      </c>
      <c r="M27">
        <v>1900</v>
      </c>
    </row>
    <row r="28" spans="1:13" x14ac:dyDescent="0.3">
      <c r="A28" t="s">
        <v>298</v>
      </c>
      <c r="B28" t="s">
        <v>299</v>
      </c>
      <c r="C28" t="s">
        <v>232</v>
      </c>
      <c r="D28" t="s">
        <v>194</v>
      </c>
      <c r="E28" t="s">
        <v>210</v>
      </c>
      <c r="F28" t="s">
        <v>300</v>
      </c>
      <c r="G28" t="s">
        <v>230</v>
      </c>
      <c r="H28" t="s">
        <v>273</v>
      </c>
      <c r="I28">
        <v>3</v>
      </c>
      <c r="J28">
        <v>72000</v>
      </c>
      <c r="K28">
        <v>216000</v>
      </c>
      <c r="L28">
        <v>195000</v>
      </c>
      <c r="M28">
        <v>21000</v>
      </c>
    </row>
    <row r="29" spans="1:13" x14ac:dyDescent="0.3">
      <c r="A29" t="s">
        <v>301</v>
      </c>
      <c r="B29" t="s">
        <v>302</v>
      </c>
      <c r="C29" t="s">
        <v>232</v>
      </c>
      <c r="D29" t="s">
        <v>235</v>
      </c>
      <c r="E29" t="s">
        <v>226</v>
      </c>
      <c r="F29" t="s">
        <v>303</v>
      </c>
      <c r="G29" t="s">
        <v>212</v>
      </c>
      <c r="H29" t="s">
        <v>264</v>
      </c>
      <c r="I29">
        <v>5</v>
      </c>
      <c r="J29">
        <v>4200</v>
      </c>
      <c r="K29">
        <v>21000</v>
      </c>
      <c r="L29">
        <v>17500</v>
      </c>
      <c r="M29">
        <v>3500</v>
      </c>
    </row>
    <row r="30" spans="1:13" x14ac:dyDescent="0.3">
      <c r="A30" t="s">
        <v>304</v>
      </c>
      <c r="B30" t="s">
        <v>305</v>
      </c>
      <c r="C30" t="s">
        <v>232</v>
      </c>
      <c r="D30" t="s">
        <v>267</v>
      </c>
      <c r="E30" t="s">
        <v>195</v>
      </c>
      <c r="F30" t="s">
        <v>306</v>
      </c>
      <c r="G30" t="s">
        <v>205</v>
      </c>
      <c r="H30" t="s">
        <v>238</v>
      </c>
      <c r="I30">
        <v>7</v>
      </c>
      <c r="J30">
        <v>2400</v>
      </c>
      <c r="K30">
        <v>16800</v>
      </c>
      <c r="L30">
        <v>14000</v>
      </c>
      <c r="M30">
        <v>2800</v>
      </c>
    </row>
    <row r="31" spans="1:13" x14ac:dyDescent="0.3">
      <c r="A31" t="s">
        <v>307</v>
      </c>
      <c r="B31" t="s">
        <v>308</v>
      </c>
      <c r="C31" t="s">
        <v>232</v>
      </c>
      <c r="D31" t="s">
        <v>202</v>
      </c>
      <c r="E31" t="s">
        <v>226</v>
      </c>
      <c r="F31" t="s">
        <v>309</v>
      </c>
      <c r="G31" t="s">
        <v>218</v>
      </c>
      <c r="H31" t="s">
        <v>245</v>
      </c>
      <c r="I31">
        <v>22</v>
      </c>
      <c r="J31">
        <v>150</v>
      </c>
      <c r="K31">
        <v>3300</v>
      </c>
      <c r="L31">
        <v>2400</v>
      </c>
      <c r="M31">
        <v>900</v>
      </c>
    </row>
    <row r="32" spans="1:13" x14ac:dyDescent="0.3">
      <c r="A32" t="s">
        <v>310</v>
      </c>
      <c r="B32" t="s">
        <v>311</v>
      </c>
      <c r="C32" t="s">
        <v>232</v>
      </c>
      <c r="D32" t="s">
        <v>194</v>
      </c>
      <c r="E32" t="s">
        <v>210</v>
      </c>
      <c r="F32" t="s">
        <v>312</v>
      </c>
      <c r="G32" t="s">
        <v>230</v>
      </c>
      <c r="H32" t="s">
        <v>242</v>
      </c>
      <c r="I32">
        <v>8</v>
      </c>
      <c r="J32">
        <v>19500</v>
      </c>
      <c r="K32">
        <v>156000</v>
      </c>
      <c r="L32">
        <v>138000</v>
      </c>
      <c r="M32">
        <v>18000</v>
      </c>
    </row>
    <row r="33" spans="1:13" x14ac:dyDescent="0.3">
      <c r="A33" t="s">
        <v>313</v>
      </c>
      <c r="B33" t="s">
        <v>314</v>
      </c>
      <c r="C33" t="s">
        <v>315</v>
      </c>
      <c r="D33" t="s">
        <v>194</v>
      </c>
      <c r="E33" t="s">
        <v>195</v>
      </c>
      <c r="F33" t="s">
        <v>316</v>
      </c>
      <c r="G33" t="s">
        <v>212</v>
      </c>
      <c r="H33" t="s">
        <v>190</v>
      </c>
      <c r="I33">
        <v>11</v>
      </c>
      <c r="J33">
        <v>2200</v>
      </c>
      <c r="K33">
        <v>24200</v>
      </c>
      <c r="L33">
        <v>18500</v>
      </c>
      <c r="M33">
        <v>5700</v>
      </c>
    </row>
    <row r="34" spans="1:13" x14ac:dyDescent="0.3">
      <c r="A34" t="s">
        <v>317</v>
      </c>
      <c r="B34" t="s">
        <v>318</v>
      </c>
      <c r="C34" t="s">
        <v>315</v>
      </c>
      <c r="D34" t="s">
        <v>228</v>
      </c>
      <c r="E34" t="s">
        <v>210</v>
      </c>
      <c r="F34" t="s">
        <v>319</v>
      </c>
      <c r="G34" t="s">
        <v>205</v>
      </c>
      <c r="H34" t="s">
        <v>213</v>
      </c>
      <c r="I34">
        <v>4</v>
      </c>
      <c r="J34">
        <v>34000</v>
      </c>
      <c r="K34">
        <v>136000</v>
      </c>
      <c r="L34">
        <v>118000</v>
      </c>
      <c r="M34">
        <v>18000</v>
      </c>
    </row>
    <row r="35" spans="1:13" x14ac:dyDescent="0.3">
      <c r="A35" t="s">
        <v>320</v>
      </c>
      <c r="B35" t="s">
        <v>321</v>
      </c>
      <c r="C35" t="s">
        <v>315</v>
      </c>
      <c r="D35" t="s">
        <v>202</v>
      </c>
      <c r="E35" t="s">
        <v>195</v>
      </c>
      <c r="F35" t="s">
        <v>322</v>
      </c>
      <c r="G35" t="s">
        <v>218</v>
      </c>
      <c r="H35" t="s">
        <v>206</v>
      </c>
      <c r="I35">
        <v>25</v>
      </c>
      <c r="J35" t="s">
        <v>323</v>
      </c>
      <c r="K35">
        <v>16250</v>
      </c>
      <c r="L35">
        <v>13000</v>
      </c>
      <c r="M35">
        <v>3250</v>
      </c>
    </row>
    <row r="36" spans="1:13" x14ac:dyDescent="0.3">
      <c r="A36" t="s">
        <v>324</v>
      </c>
      <c r="B36" t="s">
        <v>325</v>
      </c>
      <c r="C36" t="s">
        <v>315</v>
      </c>
      <c r="D36" t="s">
        <v>235</v>
      </c>
      <c r="E36" t="s">
        <v>210</v>
      </c>
      <c r="F36" t="s">
        <v>326</v>
      </c>
      <c r="G36" t="s">
        <v>230</v>
      </c>
      <c r="H36" t="s">
        <v>264</v>
      </c>
      <c r="I36">
        <v>2</v>
      </c>
      <c r="J36">
        <v>95000</v>
      </c>
      <c r="K36">
        <v>190000</v>
      </c>
      <c r="L36">
        <v>175000</v>
      </c>
      <c r="M36">
        <v>15000</v>
      </c>
    </row>
    <row r="37" spans="1:13" x14ac:dyDescent="0.3">
      <c r="A37" t="s">
        <v>327</v>
      </c>
      <c r="B37" t="s">
        <v>328</v>
      </c>
      <c r="C37" t="s">
        <v>315</v>
      </c>
      <c r="D37" t="s">
        <v>267</v>
      </c>
      <c r="E37" t="s">
        <v>226</v>
      </c>
      <c r="F37" t="s">
        <v>329</v>
      </c>
      <c r="G37" t="s">
        <v>212</v>
      </c>
      <c r="H37" t="s">
        <v>238</v>
      </c>
      <c r="I37">
        <v>15</v>
      </c>
      <c r="J37">
        <v>300</v>
      </c>
      <c r="K37">
        <v>4500</v>
      </c>
      <c r="L37">
        <v>3300</v>
      </c>
      <c r="M37">
        <v>1200</v>
      </c>
    </row>
    <row r="38" spans="1:13" x14ac:dyDescent="0.3">
      <c r="A38" t="s">
        <v>330</v>
      </c>
      <c r="B38" t="s">
        <v>331</v>
      </c>
      <c r="C38" t="s">
        <v>315</v>
      </c>
      <c r="D38" t="s">
        <v>194</v>
      </c>
      <c r="E38" t="s">
        <v>210</v>
      </c>
      <c r="F38" t="s">
        <v>332</v>
      </c>
      <c r="G38" t="s">
        <v>205</v>
      </c>
      <c r="H38" t="s">
        <v>273</v>
      </c>
      <c r="I38">
        <v>2</v>
      </c>
      <c r="J38">
        <v>125000</v>
      </c>
      <c r="K38">
        <v>250000</v>
      </c>
      <c r="L38">
        <v>230000</v>
      </c>
      <c r="M38">
        <v>20000</v>
      </c>
    </row>
    <row r="39" spans="1:13" x14ac:dyDescent="0.3">
      <c r="A39" t="s">
        <v>333</v>
      </c>
      <c r="B39" t="s">
        <v>334</v>
      </c>
      <c r="C39" t="s">
        <v>315</v>
      </c>
      <c r="D39" t="s">
        <v>228</v>
      </c>
      <c r="E39" t="s">
        <v>195</v>
      </c>
      <c r="F39" t="s">
        <v>335</v>
      </c>
      <c r="G39" t="s">
        <v>223</v>
      </c>
      <c r="H39" t="s">
        <v>248</v>
      </c>
      <c r="I39">
        <v>6</v>
      </c>
      <c r="J39">
        <v>4200</v>
      </c>
      <c r="K39">
        <v>25200</v>
      </c>
      <c r="L39">
        <v>21000</v>
      </c>
      <c r="M39">
        <v>4200</v>
      </c>
    </row>
    <row r="40" spans="1:13" x14ac:dyDescent="0.3">
      <c r="A40" t="s">
        <v>336</v>
      </c>
      <c r="B40" t="s">
        <v>337</v>
      </c>
      <c r="C40" t="s">
        <v>315</v>
      </c>
      <c r="D40" t="s">
        <v>202</v>
      </c>
      <c r="E40" t="s">
        <v>210</v>
      </c>
      <c r="F40" t="s">
        <v>338</v>
      </c>
      <c r="G40" t="s">
        <v>230</v>
      </c>
      <c r="H40" t="s">
        <v>245</v>
      </c>
      <c r="I40">
        <v>1</v>
      </c>
      <c r="J40">
        <v>150000</v>
      </c>
      <c r="K40">
        <v>150000</v>
      </c>
      <c r="L40">
        <v>138000</v>
      </c>
      <c r="M40">
        <v>12000</v>
      </c>
    </row>
    <row r="41" spans="1:13" x14ac:dyDescent="0.3">
      <c r="A41" t="s">
        <v>339</v>
      </c>
      <c r="B41" t="s">
        <v>340</v>
      </c>
      <c r="C41" t="s">
        <v>315</v>
      </c>
      <c r="D41" t="s">
        <v>194</v>
      </c>
      <c r="E41" t="s">
        <v>226</v>
      </c>
      <c r="F41" t="s">
        <v>341</v>
      </c>
      <c r="G41" t="s">
        <v>212</v>
      </c>
      <c r="H41" t="s">
        <v>242</v>
      </c>
      <c r="I41">
        <v>9</v>
      </c>
      <c r="J41">
        <v>3200</v>
      </c>
      <c r="K41">
        <v>28800</v>
      </c>
      <c r="L41">
        <v>24000</v>
      </c>
      <c r="M41">
        <v>4800</v>
      </c>
    </row>
    <row r="42" spans="1:13" x14ac:dyDescent="0.3">
      <c r="A42" t="s">
        <v>342</v>
      </c>
      <c r="B42" t="s">
        <v>343</v>
      </c>
      <c r="C42" t="s">
        <v>315</v>
      </c>
      <c r="D42" t="s">
        <v>235</v>
      </c>
      <c r="E42" t="s">
        <v>195</v>
      </c>
      <c r="F42" t="s">
        <v>344</v>
      </c>
      <c r="G42" t="s">
        <v>205</v>
      </c>
      <c r="H42" t="s">
        <v>264</v>
      </c>
      <c r="I42">
        <v>4</v>
      </c>
      <c r="J42">
        <v>9800</v>
      </c>
      <c r="K42">
        <v>39200</v>
      </c>
      <c r="L42">
        <v>34000</v>
      </c>
      <c r="M42">
        <v>5200</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
  <sheetViews>
    <sheetView topLeftCell="A2" workbookViewId="0">
      <selection activeCell="A2" sqref="A2"/>
    </sheetView>
  </sheetViews>
  <sheetFormatPr defaultRowHeight="14.4" x14ac:dyDescent="0.3"/>
  <cols>
    <col min="1" max="1" width="5" bestFit="1" customWidth="1"/>
    <col min="2" max="2" width="10.33203125" bestFit="1" customWidth="1"/>
    <col min="3" max="3" width="15.109375" bestFit="1" customWidth="1"/>
    <col min="4" max="4" width="15.77734375" bestFit="1" customWidth="1"/>
    <col min="5" max="5" width="13.109375" bestFit="1" customWidth="1"/>
    <col min="6" max="6" width="21.77734375" bestFit="1" customWidth="1"/>
    <col min="7" max="7" width="5.77734375" bestFit="1" customWidth="1"/>
    <col min="8" max="8" width="8.77734375" bestFit="1" customWidth="1"/>
    <col min="9" max="9" width="5.5546875" bestFit="1" customWidth="1"/>
    <col min="10" max="11" width="11.88671875" style="12" bestFit="1" customWidth="1"/>
    <col min="12" max="12" width="11.88671875" bestFit="1" customWidth="1"/>
    <col min="13" max="13" width="10.44140625" bestFit="1" customWidth="1"/>
  </cols>
  <sheetData>
    <row r="1" spans="1:13" x14ac:dyDescent="0.3">
      <c r="A1" s="3" t="s">
        <v>0</v>
      </c>
      <c r="B1" s="3" t="s">
        <v>1</v>
      </c>
      <c r="C1" s="7" t="s">
        <v>156</v>
      </c>
      <c r="D1" s="3" t="s">
        <v>2</v>
      </c>
      <c r="E1" s="3" t="s">
        <v>3</v>
      </c>
      <c r="F1" s="3" t="s">
        <v>4</v>
      </c>
      <c r="G1" s="3" t="s">
        <v>5</v>
      </c>
      <c r="H1" s="3" t="s">
        <v>6</v>
      </c>
      <c r="I1" s="3" t="s">
        <v>7</v>
      </c>
      <c r="J1" s="11" t="s">
        <v>8</v>
      </c>
      <c r="K1" s="11" t="s">
        <v>10</v>
      </c>
      <c r="L1" s="3" t="s">
        <v>9</v>
      </c>
      <c r="M1" s="3" t="s">
        <v>11</v>
      </c>
    </row>
    <row r="2" spans="1:13" x14ac:dyDescent="0.3">
      <c r="A2" t="s">
        <v>12</v>
      </c>
      <c r="B2" s="6" t="s">
        <v>13</v>
      </c>
      <c r="C2" s="6">
        <f>DATE(YEAR(Table1[[#This Row],[Date]]), MONTH(Table1[[#This Row],[Date]]), 1)</f>
        <v>45292</v>
      </c>
      <c r="D2" t="s">
        <v>14</v>
      </c>
      <c r="E2" t="s">
        <v>15</v>
      </c>
      <c r="F2" t="s">
        <v>16</v>
      </c>
      <c r="G2" t="s">
        <v>17</v>
      </c>
      <c r="H2" t="s">
        <v>18</v>
      </c>
      <c r="I2" s="2">
        <v>2</v>
      </c>
      <c r="J2" s="12">
        <v>85000</v>
      </c>
      <c r="K2" s="12">
        <v>145000</v>
      </c>
      <c r="L2" s="12">
        <f>Table1[[#This Row],[UnitsSold]]*Table1[[#This Row],[UnitPrice]]</f>
        <v>170000</v>
      </c>
      <c r="M2" s="12">
        <f>Table1[[#This Row],[Revenue]]-Table1[[#This Row],[Cost]]</f>
        <v>25000</v>
      </c>
    </row>
    <row r="3" spans="1:13" x14ac:dyDescent="0.3">
      <c r="A3" t="s">
        <v>19</v>
      </c>
      <c r="B3" s="6" t="s">
        <v>20</v>
      </c>
      <c r="C3" s="6">
        <f>DATE(YEAR(Table1[[#This Row],[Date]]), MONTH(Table1[[#This Row],[Date]]), 1)</f>
        <v>45292</v>
      </c>
      <c r="D3" t="s">
        <v>14</v>
      </c>
      <c r="E3" t="s">
        <v>21</v>
      </c>
      <c r="F3" t="s">
        <v>22</v>
      </c>
      <c r="G3" t="s">
        <v>23</v>
      </c>
      <c r="H3" t="s">
        <v>24</v>
      </c>
      <c r="I3" s="2">
        <v>12</v>
      </c>
      <c r="J3" s="12">
        <v>1200</v>
      </c>
      <c r="K3" s="12">
        <v>9000</v>
      </c>
      <c r="L3" s="12">
        <f>Table1[[#This Row],[UnitsSold]]*Table1[[#This Row],[UnitPrice]]</f>
        <v>14400</v>
      </c>
      <c r="M3" s="12">
        <f>Table1[[#This Row],[Revenue]]-Table1[[#This Row],[Cost]]</f>
        <v>5400</v>
      </c>
    </row>
    <row r="4" spans="1:13" x14ac:dyDescent="0.3">
      <c r="A4" t="s">
        <v>25</v>
      </c>
      <c r="B4" s="6" t="s">
        <v>26</v>
      </c>
      <c r="C4" s="6">
        <f>DATE(YEAR(Table1[[#This Row],[Date]]), MONTH(Table1[[#This Row],[Date]]), 1)</f>
        <v>45292</v>
      </c>
      <c r="D4" t="s">
        <v>27</v>
      </c>
      <c r="E4" t="s">
        <v>28</v>
      </c>
      <c r="F4" t="s">
        <v>29</v>
      </c>
      <c r="G4" t="s">
        <v>30</v>
      </c>
      <c r="H4" t="s">
        <v>31</v>
      </c>
      <c r="I4" s="2">
        <v>40</v>
      </c>
      <c r="J4" s="12">
        <v>85</v>
      </c>
      <c r="K4" s="12">
        <v>2600</v>
      </c>
      <c r="L4" s="12">
        <f>Table1[[#This Row],[UnitsSold]]*Table1[[#This Row],[UnitPrice]]</f>
        <v>3400</v>
      </c>
      <c r="M4" s="12">
        <f>Table1[[#This Row],[Revenue]]-Table1[[#This Row],[Cost]]</f>
        <v>800</v>
      </c>
    </row>
    <row r="5" spans="1:13" x14ac:dyDescent="0.3">
      <c r="A5" t="s">
        <v>32</v>
      </c>
      <c r="B5" s="6" t="s">
        <v>33</v>
      </c>
      <c r="C5" s="6">
        <f>DATE(YEAR(Table1[[#This Row],[Date]]), MONTH(Table1[[#This Row],[Date]]), 1)</f>
        <v>45292</v>
      </c>
      <c r="D5" t="s">
        <v>34</v>
      </c>
      <c r="E5" t="s">
        <v>15</v>
      </c>
      <c r="F5" t="s">
        <v>35</v>
      </c>
      <c r="G5" t="s">
        <v>36</v>
      </c>
      <c r="H5" t="s">
        <v>37</v>
      </c>
      <c r="I5" s="2">
        <v>3</v>
      </c>
      <c r="J5" s="12">
        <v>65000</v>
      </c>
      <c r="K5" s="12">
        <v>168000</v>
      </c>
      <c r="L5" s="12">
        <f>Table1[[#This Row],[UnitsSold]]*Table1[[#This Row],[UnitPrice]]</f>
        <v>195000</v>
      </c>
      <c r="M5" s="12">
        <f>Table1[[#This Row],[Revenue]]-Table1[[#This Row],[Cost]]</f>
        <v>27000</v>
      </c>
    </row>
    <row r="6" spans="1:13" x14ac:dyDescent="0.3">
      <c r="A6" t="s">
        <v>38</v>
      </c>
      <c r="B6" s="6" t="s">
        <v>39</v>
      </c>
      <c r="C6" s="6">
        <f>DATE(YEAR(Table1[[#This Row],[Date]]), MONTH(Table1[[#This Row],[Date]]), 1)</f>
        <v>45292</v>
      </c>
      <c r="D6" t="s">
        <v>14</v>
      </c>
      <c r="E6" t="s">
        <v>21</v>
      </c>
      <c r="F6" t="s">
        <v>40</v>
      </c>
      <c r="G6" t="s">
        <v>17</v>
      </c>
      <c r="H6" t="s">
        <v>345</v>
      </c>
      <c r="I6" s="2">
        <v>8</v>
      </c>
      <c r="J6" s="12">
        <v>2500</v>
      </c>
      <c r="K6" s="12">
        <v>14000</v>
      </c>
      <c r="L6" s="12">
        <f>Table1[[#This Row],[UnitsSold]]*Table1[[#This Row],[UnitPrice]]</f>
        <v>20000</v>
      </c>
      <c r="M6" s="12">
        <f>Table1[[#This Row],[Revenue]]-Table1[[#This Row],[Cost]]</f>
        <v>6000</v>
      </c>
    </row>
    <row r="7" spans="1:13" x14ac:dyDescent="0.3">
      <c r="A7" t="s">
        <v>42</v>
      </c>
      <c r="B7" s="6" t="s">
        <v>43</v>
      </c>
      <c r="C7" s="6">
        <f>DATE(YEAR(Table1[[#This Row],[Date]]), MONTH(Table1[[#This Row],[Date]]), 1)</f>
        <v>45292</v>
      </c>
      <c r="D7" t="s">
        <v>44</v>
      </c>
      <c r="E7" t="s">
        <v>15</v>
      </c>
      <c r="F7" t="s">
        <v>45</v>
      </c>
      <c r="G7" t="s">
        <v>23</v>
      </c>
      <c r="H7" t="s">
        <v>46</v>
      </c>
      <c r="I7" s="2">
        <v>5</v>
      </c>
      <c r="J7" s="12">
        <v>9200</v>
      </c>
      <c r="K7" s="12">
        <v>38000</v>
      </c>
      <c r="L7" s="12">
        <f>Table1[[#This Row],[UnitsSold]]*Table1[[#This Row],[UnitPrice]]</f>
        <v>46000</v>
      </c>
      <c r="M7" s="12">
        <f>Table1[[#This Row],[Revenue]]-Table1[[#This Row],[Cost]]</f>
        <v>8000</v>
      </c>
    </row>
    <row r="8" spans="1:13" x14ac:dyDescent="0.3">
      <c r="A8" t="s">
        <v>47</v>
      </c>
      <c r="B8" s="6" t="s">
        <v>48</v>
      </c>
      <c r="C8" s="6">
        <f>DATE(YEAR(Table1[[#This Row],[Date]]), MONTH(Table1[[#This Row],[Date]]), 1)</f>
        <v>45292</v>
      </c>
      <c r="D8" t="s">
        <v>49</v>
      </c>
      <c r="E8" t="s">
        <v>28</v>
      </c>
      <c r="F8" t="s">
        <v>50</v>
      </c>
      <c r="G8" t="s">
        <v>36</v>
      </c>
      <c r="H8" t="s">
        <v>51</v>
      </c>
      <c r="I8" s="2">
        <v>10</v>
      </c>
      <c r="J8" s="12">
        <v>1500</v>
      </c>
      <c r="K8" s="12">
        <v>11000</v>
      </c>
      <c r="L8" s="12">
        <f>Table1[[#This Row],[UnitsSold]]*Table1[[#This Row],[UnitPrice]]</f>
        <v>15000</v>
      </c>
      <c r="M8" s="12">
        <f>Table1[[#This Row],[Revenue]]-Table1[[#This Row],[Cost]]</f>
        <v>4000</v>
      </c>
    </row>
    <row r="9" spans="1:13" x14ac:dyDescent="0.3">
      <c r="A9" t="s">
        <v>52</v>
      </c>
      <c r="B9" s="6" t="s">
        <v>53</v>
      </c>
      <c r="C9" s="6">
        <f>DATE(YEAR(Table1[[#This Row],[Date]]), MONTH(Table1[[#This Row],[Date]]), 1)</f>
        <v>45292</v>
      </c>
      <c r="D9" t="s">
        <v>14</v>
      </c>
      <c r="E9" t="s">
        <v>15</v>
      </c>
      <c r="F9" t="s">
        <v>54</v>
      </c>
      <c r="G9" t="s">
        <v>30</v>
      </c>
      <c r="H9" t="s">
        <v>55</v>
      </c>
      <c r="I9" s="2">
        <v>4</v>
      </c>
      <c r="J9" s="12">
        <v>42000</v>
      </c>
      <c r="K9" s="12">
        <v>150000</v>
      </c>
      <c r="L9" s="12">
        <f>Table1[[#This Row],[UnitsSold]]*Table1[[#This Row],[UnitPrice]]</f>
        <v>168000</v>
      </c>
      <c r="M9" s="12">
        <f>Table1[[#This Row],[Revenue]]-Table1[[#This Row],[Cost]]</f>
        <v>18000</v>
      </c>
    </row>
    <row r="10" spans="1:13" x14ac:dyDescent="0.3">
      <c r="A10" t="s">
        <v>56</v>
      </c>
      <c r="B10" s="6" t="s">
        <v>57</v>
      </c>
      <c r="C10" s="6">
        <f>DATE(YEAR(Table1[[#This Row],[Date]]), MONTH(Table1[[#This Row],[Date]]), 1)</f>
        <v>45292</v>
      </c>
      <c r="D10" t="s">
        <v>27</v>
      </c>
      <c r="E10" t="s">
        <v>21</v>
      </c>
      <c r="F10" t="s">
        <v>58</v>
      </c>
      <c r="G10" t="s">
        <v>17</v>
      </c>
      <c r="H10" t="s">
        <v>59</v>
      </c>
      <c r="I10" s="2">
        <v>20</v>
      </c>
      <c r="J10" s="12">
        <v>900</v>
      </c>
      <c r="K10" s="12">
        <v>13500</v>
      </c>
      <c r="L10" s="12">
        <f>Table1[[#This Row],[UnitsSold]]*Table1[[#This Row],[UnitPrice]]</f>
        <v>18000</v>
      </c>
      <c r="M10" s="12">
        <f>Table1[[#This Row],[Revenue]]-Table1[[#This Row],[Cost]]</f>
        <v>4500</v>
      </c>
    </row>
    <row r="11" spans="1:13" x14ac:dyDescent="0.3">
      <c r="A11" t="s">
        <v>60</v>
      </c>
      <c r="B11" s="6" t="s">
        <v>61</v>
      </c>
      <c r="C11" s="6">
        <f>DATE(YEAR(Table1[[#This Row],[Date]]), MONTH(Table1[[#This Row],[Date]]), 1)</f>
        <v>45292</v>
      </c>
      <c r="D11" t="s">
        <v>34</v>
      </c>
      <c r="E11" t="s">
        <v>28</v>
      </c>
      <c r="F11" t="s">
        <v>62</v>
      </c>
      <c r="G11" t="s">
        <v>23</v>
      </c>
      <c r="H11" t="s">
        <v>63</v>
      </c>
      <c r="I11" s="2">
        <v>5</v>
      </c>
      <c r="J11" s="12">
        <v>7600</v>
      </c>
      <c r="K11" s="12">
        <v>31000</v>
      </c>
      <c r="L11" s="12">
        <f>Table1[[#This Row],[UnitsSold]]*Table1[[#This Row],[UnitPrice]]</f>
        <v>38000</v>
      </c>
      <c r="M11" s="12">
        <f>Table1[[#This Row],[Revenue]]-Table1[[#This Row],[Cost]]</f>
        <v>7000</v>
      </c>
    </row>
    <row r="12" spans="1:13" x14ac:dyDescent="0.3">
      <c r="A12" t="s">
        <v>64</v>
      </c>
      <c r="B12" s="6" t="s">
        <v>65</v>
      </c>
      <c r="C12" s="6">
        <f>DATE(YEAR(Table1[[#This Row],[Date]]), MONTH(Table1[[#This Row],[Date]]), 1)</f>
        <v>45292</v>
      </c>
      <c r="D12" t="s">
        <v>14</v>
      </c>
      <c r="E12" t="s">
        <v>15</v>
      </c>
      <c r="F12" t="s">
        <v>66</v>
      </c>
      <c r="G12" t="s">
        <v>36</v>
      </c>
      <c r="H12" t="s">
        <v>18</v>
      </c>
      <c r="I12" s="2">
        <v>6</v>
      </c>
      <c r="J12" s="12">
        <v>55000</v>
      </c>
      <c r="K12" s="12">
        <v>300000</v>
      </c>
      <c r="L12" s="12">
        <f>Table1[[#This Row],[UnitsSold]]*Table1[[#This Row],[UnitPrice]]</f>
        <v>330000</v>
      </c>
      <c r="M12" s="12">
        <f>Table1[[#This Row],[Revenue]]-Table1[[#This Row],[Cost]]</f>
        <v>30000</v>
      </c>
    </row>
    <row r="13" spans="1:13" x14ac:dyDescent="0.3">
      <c r="A13" t="s">
        <v>67</v>
      </c>
      <c r="B13" s="6" t="s">
        <v>68</v>
      </c>
      <c r="C13" s="6">
        <f>DATE(YEAR(Table1[[#This Row],[Date]]), MONTH(Table1[[#This Row],[Date]]), 1)</f>
        <v>45292</v>
      </c>
      <c r="D13" t="s">
        <v>14</v>
      </c>
      <c r="E13" t="s">
        <v>21</v>
      </c>
      <c r="F13" t="s">
        <v>69</v>
      </c>
      <c r="G13" t="s">
        <v>30</v>
      </c>
      <c r="H13" t="s">
        <v>24</v>
      </c>
      <c r="I13" s="2">
        <v>9</v>
      </c>
      <c r="J13" s="12">
        <v>2800</v>
      </c>
      <c r="K13" s="12">
        <v>19000</v>
      </c>
      <c r="L13" s="12">
        <f>Table1[[#This Row],[UnitsSold]]*Table1[[#This Row],[UnitPrice]]</f>
        <v>25200</v>
      </c>
      <c r="M13" s="12">
        <f>Table1[[#This Row],[Revenue]]-Table1[[#This Row],[Cost]]</f>
        <v>6200</v>
      </c>
    </row>
    <row r="14" spans="1:13" x14ac:dyDescent="0.3">
      <c r="A14" t="s">
        <v>70</v>
      </c>
      <c r="B14" s="6" t="s">
        <v>71</v>
      </c>
      <c r="C14" s="6">
        <f>DATE(YEAR(Table1[[#This Row],[Date]]), MONTH(Table1[[#This Row],[Date]]), 1)</f>
        <v>45292</v>
      </c>
      <c r="D14" t="s">
        <v>27</v>
      </c>
      <c r="E14" t="s">
        <v>28</v>
      </c>
      <c r="F14" t="s">
        <v>72</v>
      </c>
      <c r="G14" t="s">
        <v>17</v>
      </c>
      <c r="H14" t="s">
        <v>31</v>
      </c>
      <c r="I14" s="2">
        <v>30</v>
      </c>
      <c r="J14" s="12">
        <v>120</v>
      </c>
      <c r="K14" s="12">
        <v>2500</v>
      </c>
      <c r="L14" s="12">
        <f>Table1[[#This Row],[UnitsSold]]*Table1[[#This Row],[UnitPrice]]</f>
        <v>3600</v>
      </c>
      <c r="M14" s="12">
        <f>Table1[[#This Row],[Revenue]]-Table1[[#This Row],[Cost]]</f>
        <v>1100</v>
      </c>
    </row>
    <row r="15" spans="1:13" x14ac:dyDescent="0.3">
      <c r="A15" t="s">
        <v>73</v>
      </c>
      <c r="B15" s="6" t="s">
        <v>74</v>
      </c>
      <c r="C15" s="6">
        <f>DATE(YEAR(Table1[[#This Row],[Date]]), MONTH(Table1[[#This Row],[Date]]), 1)</f>
        <v>45292</v>
      </c>
      <c r="D15" t="s">
        <v>34</v>
      </c>
      <c r="E15" t="s">
        <v>15</v>
      </c>
      <c r="F15" t="s">
        <v>75</v>
      </c>
      <c r="G15" t="s">
        <v>23</v>
      </c>
      <c r="H15" t="s">
        <v>37</v>
      </c>
      <c r="I15" s="2">
        <v>4</v>
      </c>
      <c r="J15" s="12">
        <v>18000</v>
      </c>
      <c r="K15" s="12">
        <v>60000</v>
      </c>
      <c r="L15" s="12">
        <f>Table1[[#This Row],[UnitsSold]]*Table1[[#This Row],[UnitPrice]]</f>
        <v>72000</v>
      </c>
      <c r="M15" s="12">
        <f>Table1[[#This Row],[Revenue]]-Table1[[#This Row],[Cost]]</f>
        <v>12000</v>
      </c>
    </row>
    <row r="16" spans="1:13" x14ac:dyDescent="0.3">
      <c r="A16" t="s">
        <v>76</v>
      </c>
      <c r="B16" s="6" t="s">
        <v>77</v>
      </c>
      <c r="C16" s="6">
        <f>DATE(YEAR(Table1[[#This Row],[Date]]), MONTH(Table1[[#This Row],[Date]]), 1)</f>
        <v>45292</v>
      </c>
      <c r="D16" t="s">
        <v>44</v>
      </c>
      <c r="E16" t="s">
        <v>21</v>
      </c>
      <c r="F16" t="s">
        <v>78</v>
      </c>
      <c r="G16" t="s">
        <v>36</v>
      </c>
      <c r="H16" t="s">
        <v>46</v>
      </c>
      <c r="I16" s="2">
        <v>15</v>
      </c>
      <c r="J16" s="12">
        <v>600</v>
      </c>
      <c r="K16" s="12">
        <v>7000</v>
      </c>
      <c r="L16" s="12">
        <f>Table1[[#This Row],[UnitsSold]]*Table1[[#This Row],[UnitPrice]]</f>
        <v>9000</v>
      </c>
      <c r="M16" s="12">
        <f>Table1[[#This Row],[Revenue]]-Table1[[#This Row],[Cost]]</f>
        <v>2000</v>
      </c>
    </row>
    <row r="17" spans="1:13" x14ac:dyDescent="0.3">
      <c r="A17" t="s">
        <v>79</v>
      </c>
      <c r="B17" s="6" t="s">
        <v>80</v>
      </c>
      <c r="C17" s="6">
        <f>DATE(YEAR(Table1[[#This Row],[Date]]), MONTH(Table1[[#This Row],[Date]]), 1)</f>
        <v>45292</v>
      </c>
      <c r="D17" t="s">
        <v>49</v>
      </c>
      <c r="E17" t="s">
        <v>28</v>
      </c>
      <c r="F17" t="s">
        <v>81</v>
      </c>
      <c r="G17" t="s">
        <v>30</v>
      </c>
      <c r="H17" t="s">
        <v>51</v>
      </c>
      <c r="I17" s="2">
        <v>18</v>
      </c>
      <c r="J17" s="12">
        <v>350</v>
      </c>
      <c r="K17" s="12">
        <v>4800</v>
      </c>
      <c r="L17" s="12">
        <f>Table1[[#This Row],[UnitsSold]]*Table1[[#This Row],[UnitPrice]]</f>
        <v>6300</v>
      </c>
      <c r="M17" s="12">
        <f>Table1[[#This Row],[Revenue]]-Table1[[#This Row],[Cost]]</f>
        <v>1500</v>
      </c>
    </row>
    <row r="18" spans="1:13" x14ac:dyDescent="0.3">
      <c r="A18" t="s">
        <v>82</v>
      </c>
      <c r="B18" s="6" t="s">
        <v>83</v>
      </c>
      <c r="C18" s="6">
        <f>DATE(YEAR(Table1[[#This Row],[Date]]), MONTH(Table1[[#This Row],[Date]]), 1)</f>
        <v>45292</v>
      </c>
      <c r="D18" t="s">
        <v>14</v>
      </c>
      <c r="E18" t="s">
        <v>15</v>
      </c>
      <c r="F18" t="s">
        <v>84</v>
      </c>
      <c r="G18" t="s">
        <v>17</v>
      </c>
      <c r="H18" t="s">
        <v>41</v>
      </c>
      <c r="I18" s="2">
        <v>7</v>
      </c>
      <c r="J18" s="12">
        <v>22000</v>
      </c>
      <c r="K18" s="12">
        <v>133000</v>
      </c>
      <c r="L18" s="12">
        <f>Table1[[#This Row],[UnitsSold]]*Table1[[#This Row],[UnitPrice]]</f>
        <v>154000</v>
      </c>
      <c r="M18" s="12">
        <f>Table1[[#This Row],[Revenue]]-Table1[[#This Row],[Cost]]</f>
        <v>21000</v>
      </c>
    </row>
    <row r="19" spans="1:13" x14ac:dyDescent="0.3">
      <c r="A19" t="s">
        <v>85</v>
      </c>
      <c r="B19" s="6" t="s">
        <v>86</v>
      </c>
      <c r="C19" s="6">
        <f>DATE(YEAR(Table1[[#This Row],[Date]]), MONTH(Table1[[#This Row],[Date]]), 1)</f>
        <v>45292</v>
      </c>
      <c r="D19" t="s">
        <v>27</v>
      </c>
      <c r="E19" t="s">
        <v>21</v>
      </c>
      <c r="F19" t="s">
        <v>87</v>
      </c>
      <c r="G19" t="s">
        <v>23</v>
      </c>
      <c r="H19" t="s">
        <v>59</v>
      </c>
      <c r="I19" s="2">
        <v>6</v>
      </c>
      <c r="J19" s="12">
        <v>4200</v>
      </c>
      <c r="K19" s="12">
        <v>21000</v>
      </c>
      <c r="L19" s="12">
        <f>Table1[[#This Row],[UnitsSold]]*Table1[[#This Row],[UnitPrice]]</f>
        <v>25200</v>
      </c>
      <c r="M19" s="12">
        <f>Table1[[#This Row],[Revenue]]-Table1[[#This Row],[Cost]]</f>
        <v>4200</v>
      </c>
    </row>
    <row r="20" spans="1:13" x14ac:dyDescent="0.3">
      <c r="A20" t="s">
        <v>88</v>
      </c>
      <c r="B20" s="6" t="s">
        <v>89</v>
      </c>
      <c r="C20" s="6">
        <f>DATE(YEAR(Table1[[#This Row],[Date]]), MONTH(Table1[[#This Row],[Date]]), 1)</f>
        <v>45292</v>
      </c>
      <c r="D20" t="s">
        <v>34</v>
      </c>
      <c r="E20" t="s">
        <v>28</v>
      </c>
      <c r="F20" t="s">
        <v>90</v>
      </c>
      <c r="G20" t="s">
        <v>36</v>
      </c>
      <c r="H20" t="s">
        <v>63</v>
      </c>
      <c r="I20" s="2">
        <v>3</v>
      </c>
      <c r="J20" s="12">
        <v>12500</v>
      </c>
      <c r="K20" s="12">
        <v>32000</v>
      </c>
      <c r="L20" s="12">
        <f>Table1[[#This Row],[UnitsSold]]*Table1[[#This Row],[UnitPrice]]</f>
        <v>37500</v>
      </c>
      <c r="M20" s="12">
        <f>Table1[[#This Row],[Revenue]]-Table1[[#This Row],[Cost]]</f>
        <v>5500</v>
      </c>
    </row>
    <row r="21" spans="1:13" x14ac:dyDescent="0.3">
      <c r="A21" t="s">
        <v>91</v>
      </c>
      <c r="B21" s="6" t="s">
        <v>92</v>
      </c>
      <c r="C21" s="6">
        <f>DATE(YEAR(Table1[[#This Row],[Date]]), MONTH(Table1[[#This Row],[Date]]), 1)</f>
        <v>45292</v>
      </c>
      <c r="D21" t="s">
        <v>14</v>
      </c>
      <c r="E21" t="s">
        <v>21</v>
      </c>
      <c r="F21" t="s">
        <v>93</v>
      </c>
      <c r="G21" t="s">
        <v>30</v>
      </c>
      <c r="H21" t="s">
        <v>55</v>
      </c>
      <c r="I21" s="2">
        <v>14</v>
      </c>
      <c r="J21" s="12">
        <v>1800</v>
      </c>
      <c r="K21" s="12">
        <v>19500</v>
      </c>
      <c r="L21" s="12">
        <f>Table1[[#This Row],[UnitsSold]]*Table1[[#This Row],[UnitPrice]]</f>
        <v>25200</v>
      </c>
      <c r="M21" s="12">
        <f>Table1[[#This Row],[Revenue]]-Table1[[#This Row],[Cost]]</f>
        <v>5700</v>
      </c>
    </row>
    <row r="22" spans="1:13" x14ac:dyDescent="0.3">
      <c r="A22" t="s">
        <v>94</v>
      </c>
      <c r="B22" s="6" t="s">
        <v>95</v>
      </c>
      <c r="C22" s="6">
        <f>DATE(YEAR(Table1[[#This Row],[Date]]), MONTH(Table1[[#This Row],[Date]]), 1)</f>
        <v>45292</v>
      </c>
      <c r="D22" t="s">
        <v>44</v>
      </c>
      <c r="E22" t="s">
        <v>15</v>
      </c>
      <c r="F22" t="s">
        <v>96</v>
      </c>
      <c r="G22" t="s">
        <v>17</v>
      </c>
      <c r="H22" t="s">
        <v>46</v>
      </c>
      <c r="I22" s="2">
        <v>2</v>
      </c>
      <c r="J22" s="12">
        <v>78000</v>
      </c>
      <c r="K22" s="12">
        <v>140000</v>
      </c>
      <c r="L22" s="12">
        <f>Table1[[#This Row],[UnitsSold]]*Table1[[#This Row],[UnitPrice]]</f>
        <v>156000</v>
      </c>
      <c r="M22" s="12">
        <f>Table1[[#This Row],[Revenue]]-Table1[[#This Row],[Cost]]</f>
        <v>16000</v>
      </c>
    </row>
    <row r="23" spans="1:13" x14ac:dyDescent="0.3">
      <c r="A23" t="s">
        <v>97</v>
      </c>
      <c r="B23" s="6" t="s">
        <v>98</v>
      </c>
      <c r="C23" s="6">
        <f>DATE(YEAR(Table1[[#This Row],[Date]]), MONTH(Table1[[#This Row],[Date]]), 1)</f>
        <v>45292</v>
      </c>
      <c r="D23" t="s">
        <v>49</v>
      </c>
      <c r="E23" t="s">
        <v>21</v>
      </c>
      <c r="F23" t="s">
        <v>99</v>
      </c>
      <c r="G23" t="s">
        <v>23</v>
      </c>
      <c r="H23" t="s">
        <v>51</v>
      </c>
      <c r="I23" s="2">
        <v>4</v>
      </c>
      <c r="J23" s="12">
        <v>8500</v>
      </c>
      <c r="K23" s="12">
        <v>29000</v>
      </c>
      <c r="L23" s="12">
        <f>Table1[[#This Row],[UnitsSold]]*Table1[[#This Row],[UnitPrice]]</f>
        <v>34000</v>
      </c>
      <c r="M23" s="12">
        <f>Table1[[#This Row],[Revenue]]-Table1[[#This Row],[Cost]]</f>
        <v>5000</v>
      </c>
    </row>
    <row r="24" spans="1:13" x14ac:dyDescent="0.3">
      <c r="A24" t="s">
        <v>100</v>
      </c>
      <c r="B24" s="6" t="s">
        <v>101</v>
      </c>
      <c r="C24" s="6">
        <f>DATE(YEAR(Table1[[#This Row],[Date]]), MONTH(Table1[[#This Row],[Date]]), 1)</f>
        <v>45292</v>
      </c>
      <c r="D24" t="s">
        <v>14</v>
      </c>
      <c r="E24" t="s">
        <v>28</v>
      </c>
      <c r="F24" t="s">
        <v>102</v>
      </c>
      <c r="G24" t="s">
        <v>36</v>
      </c>
      <c r="H24" t="s">
        <v>18</v>
      </c>
      <c r="I24" s="2">
        <v>10</v>
      </c>
      <c r="J24" s="12">
        <v>950</v>
      </c>
      <c r="K24" s="12">
        <v>7600</v>
      </c>
      <c r="L24" s="12">
        <f>Table1[[#This Row],[UnitsSold]]*Table1[[#This Row],[UnitPrice]]</f>
        <v>9500</v>
      </c>
      <c r="M24" s="12">
        <f>Table1[[#This Row],[Revenue]]-Table1[[#This Row],[Cost]]</f>
        <v>1900</v>
      </c>
    </row>
    <row r="25" spans="1:13" x14ac:dyDescent="0.3">
      <c r="A25" t="s">
        <v>103</v>
      </c>
      <c r="B25" s="6" t="s">
        <v>104</v>
      </c>
      <c r="C25" s="6">
        <f>DATE(YEAR(Table1[[#This Row],[Date]]), MONTH(Table1[[#This Row],[Date]]), 1)</f>
        <v>45292</v>
      </c>
      <c r="D25" t="s">
        <v>27</v>
      </c>
      <c r="E25" t="s">
        <v>15</v>
      </c>
      <c r="F25" t="s">
        <v>105</v>
      </c>
      <c r="G25" t="s">
        <v>30</v>
      </c>
      <c r="H25" t="s">
        <v>31</v>
      </c>
      <c r="I25" s="2">
        <v>3</v>
      </c>
      <c r="J25" s="12">
        <v>18000</v>
      </c>
      <c r="K25" s="12">
        <v>47000</v>
      </c>
      <c r="L25" s="12">
        <f>Table1[[#This Row],[UnitsSold]]*Table1[[#This Row],[UnitPrice]]</f>
        <v>54000</v>
      </c>
      <c r="M25" s="12">
        <f>Table1[[#This Row],[Revenue]]-Table1[[#This Row],[Cost]]</f>
        <v>7000</v>
      </c>
    </row>
    <row r="26" spans="1:13" x14ac:dyDescent="0.3">
      <c r="A26" t="s">
        <v>106</v>
      </c>
      <c r="B26" s="6" t="s">
        <v>107</v>
      </c>
      <c r="C26" s="6">
        <f>DATE(YEAR(Table1[[#This Row],[Date]]), MONTH(Table1[[#This Row],[Date]]), 1)</f>
        <v>45292</v>
      </c>
      <c r="D26" t="s">
        <v>34</v>
      </c>
      <c r="E26" t="s">
        <v>21</v>
      </c>
      <c r="F26" t="s">
        <v>108</v>
      </c>
      <c r="G26" t="s">
        <v>17</v>
      </c>
      <c r="H26" t="s">
        <v>37</v>
      </c>
      <c r="I26" s="2">
        <v>12</v>
      </c>
      <c r="J26" s="12">
        <v>700</v>
      </c>
      <c r="K26" s="12">
        <v>6500</v>
      </c>
      <c r="L26" s="12">
        <f>Table1[[#This Row],[UnitsSold]]*Table1[[#This Row],[UnitPrice]]</f>
        <v>8400</v>
      </c>
      <c r="M26" s="12">
        <f>Table1[[#This Row],[Revenue]]-Table1[[#This Row],[Cost]]</f>
        <v>1900</v>
      </c>
    </row>
    <row r="27" spans="1:13" x14ac:dyDescent="0.3">
      <c r="A27" t="s">
        <v>109</v>
      </c>
      <c r="B27" s="6" t="s">
        <v>110</v>
      </c>
      <c r="C27" s="6">
        <f>DATE(YEAR(Table1[[#This Row],[Date]]), MONTH(Table1[[#This Row],[Date]]), 1)</f>
        <v>45292</v>
      </c>
      <c r="D27" t="s">
        <v>14</v>
      </c>
      <c r="E27" t="s">
        <v>15</v>
      </c>
      <c r="F27" t="s">
        <v>111</v>
      </c>
      <c r="G27" t="s">
        <v>23</v>
      </c>
      <c r="H27" t="s">
        <v>41</v>
      </c>
      <c r="I27" s="2">
        <v>3</v>
      </c>
      <c r="J27" s="12">
        <v>72000</v>
      </c>
      <c r="K27" s="12">
        <v>195000</v>
      </c>
      <c r="L27" s="12">
        <f>Table1[[#This Row],[UnitsSold]]*Table1[[#This Row],[UnitPrice]]</f>
        <v>216000</v>
      </c>
      <c r="M27" s="12">
        <f>Table1[[#This Row],[Revenue]]-Table1[[#This Row],[Cost]]</f>
        <v>21000</v>
      </c>
    </row>
    <row r="28" spans="1:13" x14ac:dyDescent="0.3">
      <c r="A28" t="s">
        <v>112</v>
      </c>
      <c r="B28" s="6" t="s">
        <v>113</v>
      </c>
      <c r="C28" s="6">
        <f>DATE(YEAR(Table1[[#This Row],[Date]]), MONTH(Table1[[#This Row],[Date]]), 1)</f>
        <v>45292</v>
      </c>
      <c r="D28" t="s">
        <v>44</v>
      </c>
      <c r="E28" t="s">
        <v>28</v>
      </c>
      <c r="F28" t="s">
        <v>114</v>
      </c>
      <c r="G28" t="s">
        <v>36</v>
      </c>
      <c r="H28" t="s">
        <v>46</v>
      </c>
      <c r="I28" s="2">
        <v>5</v>
      </c>
      <c r="J28" s="12">
        <v>4200</v>
      </c>
      <c r="K28" s="12">
        <v>17500</v>
      </c>
      <c r="L28" s="12">
        <f>Table1[[#This Row],[UnitsSold]]*Table1[[#This Row],[UnitPrice]]</f>
        <v>21000</v>
      </c>
      <c r="M28" s="12">
        <f>Table1[[#This Row],[Revenue]]-Table1[[#This Row],[Cost]]</f>
        <v>3500</v>
      </c>
    </row>
    <row r="29" spans="1:13" x14ac:dyDescent="0.3">
      <c r="A29" t="s">
        <v>115</v>
      </c>
      <c r="B29" s="6" t="s">
        <v>116</v>
      </c>
      <c r="C29" s="6">
        <f>DATE(YEAR(Table1[[#This Row],[Date]]), MONTH(Table1[[#This Row],[Date]]), 1)</f>
        <v>45292</v>
      </c>
      <c r="D29" t="s">
        <v>49</v>
      </c>
      <c r="E29" t="s">
        <v>21</v>
      </c>
      <c r="F29" t="s">
        <v>117</v>
      </c>
      <c r="G29" t="s">
        <v>30</v>
      </c>
      <c r="H29" t="s">
        <v>51</v>
      </c>
      <c r="I29" s="2">
        <v>7</v>
      </c>
      <c r="J29" s="12">
        <v>2400</v>
      </c>
      <c r="K29" s="12">
        <v>14000</v>
      </c>
      <c r="L29" s="12">
        <f>Table1[[#This Row],[UnitsSold]]*Table1[[#This Row],[UnitPrice]]</f>
        <v>16800</v>
      </c>
      <c r="M29" s="12">
        <f>Table1[[#This Row],[Revenue]]-Table1[[#This Row],[Cost]]</f>
        <v>2800</v>
      </c>
    </row>
    <row r="30" spans="1:13" x14ac:dyDescent="0.3">
      <c r="A30" t="s">
        <v>118</v>
      </c>
      <c r="B30" s="6" t="s">
        <v>119</v>
      </c>
      <c r="C30" s="6">
        <f>DATE(YEAR(Table1[[#This Row],[Date]]), MONTH(Table1[[#This Row],[Date]]), 1)</f>
        <v>45292</v>
      </c>
      <c r="D30" t="s">
        <v>27</v>
      </c>
      <c r="E30" t="s">
        <v>28</v>
      </c>
      <c r="F30" t="s">
        <v>120</v>
      </c>
      <c r="G30" t="s">
        <v>17</v>
      </c>
      <c r="H30" t="s">
        <v>59</v>
      </c>
      <c r="I30" s="2">
        <v>22</v>
      </c>
      <c r="J30" s="12">
        <v>150</v>
      </c>
      <c r="K30" s="12">
        <v>2400</v>
      </c>
      <c r="L30" s="12">
        <f>Table1[[#This Row],[UnitsSold]]*Table1[[#This Row],[UnitPrice]]</f>
        <v>3300</v>
      </c>
      <c r="M30" s="12">
        <f>Table1[[#This Row],[Revenue]]-Table1[[#This Row],[Cost]]</f>
        <v>900</v>
      </c>
    </row>
    <row r="31" spans="1:13" x14ac:dyDescent="0.3">
      <c r="A31" t="s">
        <v>121</v>
      </c>
      <c r="B31" s="6" t="s">
        <v>122</v>
      </c>
      <c r="C31" s="6">
        <f>DATE(YEAR(Table1[[#This Row],[Date]]), MONTH(Table1[[#This Row],[Date]]), 1)</f>
        <v>45292</v>
      </c>
      <c r="D31" t="s">
        <v>14</v>
      </c>
      <c r="E31" t="s">
        <v>15</v>
      </c>
      <c r="F31" t="s">
        <v>123</v>
      </c>
      <c r="G31" t="s">
        <v>23</v>
      </c>
      <c r="H31" t="s">
        <v>55</v>
      </c>
      <c r="I31" s="2">
        <v>8</v>
      </c>
      <c r="J31" s="12">
        <v>19500</v>
      </c>
      <c r="K31" s="12">
        <v>138000</v>
      </c>
      <c r="L31" s="12">
        <f>Table1[[#This Row],[UnitsSold]]*Table1[[#This Row],[UnitPrice]]</f>
        <v>156000</v>
      </c>
      <c r="M31" s="12">
        <f>Table1[[#This Row],[Revenue]]-Table1[[#This Row],[Cost]]</f>
        <v>18000</v>
      </c>
    </row>
    <row r="32" spans="1:13" x14ac:dyDescent="0.3">
      <c r="A32" t="s">
        <v>124</v>
      </c>
      <c r="B32" s="6" t="s">
        <v>125</v>
      </c>
      <c r="C32" s="6">
        <f>DATE(YEAR(Table1[[#This Row],[Date]]), MONTH(Table1[[#This Row],[Date]]), 1)</f>
        <v>45323</v>
      </c>
      <c r="D32" t="s">
        <v>14</v>
      </c>
      <c r="E32" t="s">
        <v>21</v>
      </c>
      <c r="F32" t="s">
        <v>126</v>
      </c>
      <c r="G32" t="s">
        <v>36</v>
      </c>
      <c r="H32" t="s">
        <v>18</v>
      </c>
      <c r="I32" s="2">
        <v>11</v>
      </c>
      <c r="J32" s="12">
        <v>2200</v>
      </c>
      <c r="K32" s="12">
        <v>18500</v>
      </c>
      <c r="L32" s="12">
        <f>Table1[[#This Row],[UnitsSold]]*Table1[[#This Row],[UnitPrice]]</f>
        <v>24200</v>
      </c>
      <c r="M32" s="12">
        <f>Table1[[#This Row],[Revenue]]-Table1[[#This Row],[Cost]]</f>
        <v>5700</v>
      </c>
    </row>
    <row r="33" spans="1:13" x14ac:dyDescent="0.3">
      <c r="A33" t="s">
        <v>127</v>
      </c>
      <c r="B33" s="6" t="s">
        <v>128</v>
      </c>
      <c r="C33" s="6">
        <f>DATE(YEAR(Table1[[#This Row],[Date]]), MONTH(Table1[[#This Row],[Date]]), 1)</f>
        <v>45323</v>
      </c>
      <c r="D33" t="s">
        <v>34</v>
      </c>
      <c r="E33" t="s">
        <v>15</v>
      </c>
      <c r="F33" t="s">
        <v>129</v>
      </c>
      <c r="G33" t="s">
        <v>30</v>
      </c>
      <c r="H33" t="s">
        <v>37</v>
      </c>
      <c r="I33" s="2">
        <v>4</v>
      </c>
      <c r="J33" s="12">
        <v>34000</v>
      </c>
      <c r="K33" s="12">
        <v>118000</v>
      </c>
      <c r="L33" s="12">
        <f>Table1[[#This Row],[UnitsSold]]*Table1[[#This Row],[UnitPrice]]</f>
        <v>136000</v>
      </c>
      <c r="M33" s="12">
        <f>Table1[[#This Row],[Revenue]]-Table1[[#This Row],[Cost]]</f>
        <v>18000</v>
      </c>
    </row>
    <row r="34" spans="1:13" x14ac:dyDescent="0.3">
      <c r="A34" t="s">
        <v>130</v>
      </c>
      <c r="B34" s="6" t="s">
        <v>131</v>
      </c>
      <c r="C34" s="6">
        <f>DATE(YEAR(Table1[[#This Row],[Date]]), MONTH(Table1[[#This Row],[Date]]), 1)</f>
        <v>45323</v>
      </c>
      <c r="D34" t="s">
        <v>27</v>
      </c>
      <c r="E34" t="s">
        <v>21</v>
      </c>
      <c r="F34" t="s">
        <v>132</v>
      </c>
      <c r="G34" t="s">
        <v>17</v>
      </c>
      <c r="H34" t="s">
        <v>31</v>
      </c>
      <c r="I34" s="2">
        <v>25</v>
      </c>
      <c r="J34" s="12">
        <v>650</v>
      </c>
      <c r="K34" s="12">
        <v>13000</v>
      </c>
      <c r="L34" s="12">
        <f>Table1[[#This Row],[UnitsSold]]*Table1[[#This Row],[UnitPrice]]</f>
        <v>16250</v>
      </c>
      <c r="M34" s="12">
        <f>Table1[[#This Row],[Revenue]]-Table1[[#This Row],[Cost]]</f>
        <v>3250</v>
      </c>
    </row>
    <row r="35" spans="1:13" x14ac:dyDescent="0.3">
      <c r="A35" t="s">
        <v>133</v>
      </c>
      <c r="B35" s="6" t="s">
        <v>134</v>
      </c>
      <c r="C35" s="6">
        <f>DATE(YEAR(Table1[[#This Row],[Date]]), MONTH(Table1[[#This Row],[Date]]), 1)</f>
        <v>45323</v>
      </c>
      <c r="D35" t="s">
        <v>44</v>
      </c>
      <c r="E35" t="s">
        <v>15</v>
      </c>
      <c r="F35" t="s">
        <v>135</v>
      </c>
      <c r="G35" t="s">
        <v>23</v>
      </c>
      <c r="H35" t="s">
        <v>46</v>
      </c>
      <c r="I35" s="2">
        <v>2</v>
      </c>
      <c r="J35" s="12">
        <v>95000</v>
      </c>
      <c r="K35" s="12">
        <v>175000</v>
      </c>
      <c r="L35" s="12">
        <f>Table1[[#This Row],[UnitsSold]]*Table1[[#This Row],[UnitPrice]]</f>
        <v>190000</v>
      </c>
      <c r="M35" s="12">
        <f>Table1[[#This Row],[Revenue]]-Table1[[#This Row],[Cost]]</f>
        <v>15000</v>
      </c>
    </row>
    <row r="36" spans="1:13" x14ac:dyDescent="0.3">
      <c r="A36" t="s">
        <v>136</v>
      </c>
      <c r="B36" s="6" t="s">
        <v>137</v>
      </c>
      <c r="C36" s="6">
        <f>DATE(YEAR(Table1[[#This Row],[Date]]), MONTH(Table1[[#This Row],[Date]]), 1)</f>
        <v>45323</v>
      </c>
      <c r="D36" t="s">
        <v>49</v>
      </c>
      <c r="E36" t="s">
        <v>28</v>
      </c>
      <c r="F36" t="s">
        <v>138</v>
      </c>
      <c r="G36" t="s">
        <v>36</v>
      </c>
      <c r="H36" t="s">
        <v>51</v>
      </c>
      <c r="I36" s="2">
        <v>15</v>
      </c>
      <c r="J36" s="12">
        <v>300</v>
      </c>
      <c r="K36" s="12">
        <v>3300</v>
      </c>
      <c r="L36" s="12">
        <f>Table1[[#This Row],[UnitsSold]]*Table1[[#This Row],[UnitPrice]]</f>
        <v>4500</v>
      </c>
      <c r="M36" s="12">
        <f>Table1[[#This Row],[Revenue]]-Table1[[#This Row],[Cost]]</f>
        <v>1200</v>
      </c>
    </row>
    <row r="37" spans="1:13" x14ac:dyDescent="0.3">
      <c r="A37" t="s">
        <v>139</v>
      </c>
      <c r="B37" s="6" t="s">
        <v>140</v>
      </c>
      <c r="C37" s="6">
        <f>DATE(YEAR(Table1[[#This Row],[Date]]), MONTH(Table1[[#This Row],[Date]]), 1)</f>
        <v>45323</v>
      </c>
      <c r="D37" t="s">
        <v>14</v>
      </c>
      <c r="E37" t="s">
        <v>15</v>
      </c>
      <c r="F37" t="s">
        <v>141</v>
      </c>
      <c r="G37" t="s">
        <v>30</v>
      </c>
      <c r="H37" t="s">
        <v>41</v>
      </c>
      <c r="I37" s="2">
        <v>2</v>
      </c>
      <c r="J37" s="12">
        <v>125000</v>
      </c>
      <c r="K37" s="12">
        <v>230000</v>
      </c>
      <c r="L37" s="12">
        <f>Table1[[#This Row],[UnitsSold]]*Table1[[#This Row],[UnitPrice]]</f>
        <v>250000</v>
      </c>
      <c r="M37" s="12">
        <f>Table1[[#This Row],[Revenue]]-Table1[[#This Row],[Cost]]</f>
        <v>20000</v>
      </c>
    </row>
    <row r="38" spans="1:13" x14ac:dyDescent="0.3">
      <c r="A38" t="s">
        <v>142</v>
      </c>
      <c r="B38" s="6" t="s">
        <v>143</v>
      </c>
      <c r="C38" s="6">
        <f>DATE(YEAR(Table1[[#This Row],[Date]]), MONTH(Table1[[#This Row],[Date]]), 1)</f>
        <v>45323</v>
      </c>
      <c r="D38" t="s">
        <v>34</v>
      </c>
      <c r="E38" t="s">
        <v>21</v>
      </c>
      <c r="F38" t="s">
        <v>144</v>
      </c>
      <c r="G38" t="s">
        <v>17</v>
      </c>
      <c r="H38" t="s">
        <v>63</v>
      </c>
      <c r="I38" s="2">
        <v>6</v>
      </c>
      <c r="J38" s="12">
        <v>4200</v>
      </c>
      <c r="K38" s="12">
        <v>21000</v>
      </c>
      <c r="L38" s="12">
        <f>Table1[[#This Row],[UnitsSold]]*Table1[[#This Row],[UnitPrice]]</f>
        <v>25200</v>
      </c>
      <c r="M38" s="12">
        <f>Table1[[#This Row],[Revenue]]-Table1[[#This Row],[Cost]]</f>
        <v>4200</v>
      </c>
    </row>
    <row r="39" spans="1:13" x14ac:dyDescent="0.3">
      <c r="A39" t="s">
        <v>145</v>
      </c>
      <c r="B39" s="6" t="s">
        <v>146</v>
      </c>
      <c r="C39" s="6">
        <f>DATE(YEAR(Table1[[#This Row],[Date]]), MONTH(Table1[[#This Row],[Date]]), 1)</f>
        <v>45323</v>
      </c>
      <c r="D39" t="s">
        <v>27</v>
      </c>
      <c r="E39" t="s">
        <v>15</v>
      </c>
      <c r="F39" t="s">
        <v>147</v>
      </c>
      <c r="G39" t="s">
        <v>23</v>
      </c>
      <c r="H39" t="s">
        <v>59</v>
      </c>
      <c r="I39" s="2">
        <v>1</v>
      </c>
      <c r="J39" s="12">
        <v>150000</v>
      </c>
      <c r="K39" s="12">
        <v>138000</v>
      </c>
      <c r="L39" s="12">
        <f>Table1[[#This Row],[UnitsSold]]*Table1[[#This Row],[UnitPrice]]</f>
        <v>150000</v>
      </c>
      <c r="M39" s="12">
        <f>Table1[[#This Row],[Revenue]]-Table1[[#This Row],[Cost]]</f>
        <v>12000</v>
      </c>
    </row>
    <row r="40" spans="1:13" x14ac:dyDescent="0.3">
      <c r="A40" t="s">
        <v>148</v>
      </c>
      <c r="B40" s="6" t="s">
        <v>149</v>
      </c>
      <c r="C40" s="6">
        <f>DATE(YEAR(Table1[[#This Row],[Date]]), MONTH(Table1[[#This Row],[Date]]), 1)</f>
        <v>45323</v>
      </c>
      <c r="D40" t="s">
        <v>14</v>
      </c>
      <c r="E40" t="s">
        <v>28</v>
      </c>
      <c r="F40" t="s">
        <v>150</v>
      </c>
      <c r="G40" t="s">
        <v>36</v>
      </c>
      <c r="H40" t="s">
        <v>55</v>
      </c>
      <c r="I40" s="2">
        <v>9</v>
      </c>
      <c r="J40" s="12">
        <v>3200</v>
      </c>
      <c r="K40" s="12">
        <v>24000</v>
      </c>
      <c r="L40" s="12">
        <f>Table1[[#This Row],[UnitsSold]]*Table1[[#This Row],[UnitPrice]]</f>
        <v>28800</v>
      </c>
      <c r="M40" s="12">
        <f>Table1[[#This Row],[Revenue]]-Table1[[#This Row],[Cost]]</f>
        <v>4800</v>
      </c>
    </row>
    <row r="41" spans="1:13" x14ac:dyDescent="0.3">
      <c r="A41" t="s">
        <v>151</v>
      </c>
      <c r="B41" s="6" t="s">
        <v>152</v>
      </c>
      <c r="C41" s="6">
        <f>DATE(YEAR(Table1[[#This Row],[Date]]), MONTH(Table1[[#This Row],[Date]]), 1)</f>
        <v>45323</v>
      </c>
      <c r="D41" t="s">
        <v>44</v>
      </c>
      <c r="E41" t="s">
        <v>21</v>
      </c>
      <c r="F41" t="s">
        <v>153</v>
      </c>
      <c r="G41" t="s">
        <v>30</v>
      </c>
      <c r="H41" t="s">
        <v>46</v>
      </c>
      <c r="I41" s="2">
        <v>4</v>
      </c>
      <c r="J41" s="12">
        <v>9800</v>
      </c>
      <c r="K41" s="12">
        <v>34000</v>
      </c>
      <c r="L41" s="12">
        <f>Table1[[#This Row],[UnitsSold]]*Table1[[#This Row],[UnitPrice]]</f>
        <v>39200</v>
      </c>
      <c r="M41" s="12">
        <f>Table1[[#This Row],[Revenue]]-Table1[[#This Row],[Cost]]</f>
        <v>5200</v>
      </c>
    </row>
    <row r="42" spans="1:13" x14ac:dyDescent="0.3">
      <c r="C42" s="6"/>
    </row>
  </sheetData>
  <phoneticPr fontId="1"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EA9DA-B365-4342-9045-47B001A23819}">
  <dimension ref="A3:G30"/>
  <sheetViews>
    <sheetView workbookViewId="0"/>
  </sheetViews>
  <sheetFormatPr defaultRowHeight="14.4" x14ac:dyDescent="0.3"/>
  <cols>
    <col min="1" max="1" width="10.77734375" bestFit="1" customWidth="1"/>
    <col min="2" max="2" width="16.44140625" bestFit="1" customWidth="1"/>
    <col min="3" max="3" width="19.109375" customWidth="1"/>
    <col min="4" max="4" width="13.88671875" bestFit="1" customWidth="1"/>
    <col min="5" max="5" width="12.77734375" bestFit="1" customWidth="1"/>
    <col min="6" max="6" width="14.21875" bestFit="1" customWidth="1"/>
    <col min="7" max="7" width="21.6640625" bestFit="1" customWidth="1"/>
    <col min="8" max="8" width="10.44140625" bestFit="1" customWidth="1"/>
    <col min="9" max="24" width="11.44140625" bestFit="1" customWidth="1"/>
    <col min="25" max="33" width="13.109375" bestFit="1" customWidth="1"/>
    <col min="34" max="34" width="14.109375" bestFit="1" customWidth="1"/>
    <col min="35" max="36" width="10.44140625" bestFit="1" customWidth="1"/>
    <col min="37" max="37" width="17.21875" bestFit="1" customWidth="1"/>
    <col min="38" max="38" width="11.44140625" bestFit="1" customWidth="1"/>
    <col min="39" max="39" width="17.21875" bestFit="1" customWidth="1"/>
    <col min="40" max="40" width="11.44140625" bestFit="1" customWidth="1"/>
    <col min="41" max="41" width="17.21875" bestFit="1" customWidth="1"/>
    <col min="42" max="42" width="11.44140625" bestFit="1" customWidth="1"/>
    <col min="43" max="43" width="17.21875" bestFit="1" customWidth="1"/>
    <col min="44" max="44" width="11.44140625" bestFit="1" customWidth="1"/>
    <col min="45" max="45" width="17.21875" bestFit="1" customWidth="1"/>
    <col min="46" max="46" width="11.44140625" bestFit="1" customWidth="1"/>
    <col min="47" max="47" width="17.21875" bestFit="1" customWidth="1"/>
    <col min="48" max="48" width="11.44140625" bestFit="1" customWidth="1"/>
    <col min="49" max="49" width="17.21875" bestFit="1" customWidth="1"/>
    <col min="50" max="50" width="11.44140625" bestFit="1" customWidth="1"/>
    <col min="51" max="51" width="17.21875" bestFit="1" customWidth="1"/>
    <col min="52" max="52" width="11.44140625" bestFit="1" customWidth="1"/>
    <col min="53" max="53" width="17.21875" bestFit="1" customWidth="1"/>
    <col min="54" max="54" width="13.109375" bestFit="1" customWidth="1"/>
    <col min="55" max="55" width="18.77734375" bestFit="1" customWidth="1"/>
    <col min="56" max="56" width="13.109375" bestFit="1" customWidth="1"/>
    <col min="57" max="57" width="18.77734375" bestFit="1" customWidth="1"/>
    <col min="58" max="58" width="13.109375" bestFit="1" customWidth="1"/>
    <col min="59" max="59" width="18.77734375" bestFit="1" customWidth="1"/>
    <col min="60" max="60" width="13.109375" bestFit="1" customWidth="1"/>
    <col min="61" max="61" width="11.44140625" bestFit="1" customWidth="1"/>
    <col min="62" max="62" width="18.77734375" bestFit="1" customWidth="1"/>
    <col min="63" max="63" width="13.109375" bestFit="1" customWidth="1"/>
    <col min="64" max="64" width="18.77734375" bestFit="1" customWidth="1"/>
    <col min="65" max="65" width="13.109375" bestFit="1" customWidth="1"/>
    <col min="66" max="66" width="18.77734375" bestFit="1" customWidth="1"/>
    <col min="67" max="67" width="13.109375" bestFit="1" customWidth="1"/>
    <col min="68" max="68" width="18.77734375" bestFit="1" customWidth="1"/>
    <col min="69" max="69" width="13.109375" bestFit="1" customWidth="1"/>
    <col min="70" max="70" width="18.77734375" bestFit="1" customWidth="1"/>
    <col min="71" max="71" width="13.109375" bestFit="1" customWidth="1"/>
    <col min="72" max="72" width="18.77734375" bestFit="1" customWidth="1"/>
    <col min="73" max="73" width="13.109375" bestFit="1" customWidth="1"/>
    <col min="74" max="74" width="18.77734375" bestFit="1" customWidth="1"/>
    <col min="75" max="75" width="13.109375" bestFit="1" customWidth="1"/>
    <col min="76" max="76" width="18.77734375" bestFit="1" customWidth="1"/>
    <col min="77" max="77" width="11.6640625" bestFit="1" customWidth="1"/>
  </cols>
  <sheetData>
    <row r="3" spans="1:7" x14ac:dyDescent="0.3">
      <c r="A3" s="4" t="s">
        <v>162</v>
      </c>
      <c r="B3" t="s">
        <v>155</v>
      </c>
      <c r="D3" t="s">
        <v>167</v>
      </c>
      <c r="E3" t="s">
        <v>166</v>
      </c>
      <c r="F3" t="s">
        <v>168</v>
      </c>
      <c r="G3" t="s">
        <v>165</v>
      </c>
    </row>
    <row r="4" spans="1:7" x14ac:dyDescent="0.3">
      <c r="A4" s="5" t="s">
        <v>14</v>
      </c>
      <c r="B4" s="1">
        <v>1591300</v>
      </c>
      <c r="D4" s="1">
        <v>2914950</v>
      </c>
      <c r="E4" s="1">
        <v>362250</v>
      </c>
      <c r="F4" s="2">
        <v>376</v>
      </c>
      <c r="G4" s="13">
        <v>40</v>
      </c>
    </row>
    <row r="5" spans="1:7" x14ac:dyDescent="0.3">
      <c r="A5" s="5" t="s">
        <v>34</v>
      </c>
      <c r="B5" s="1">
        <v>512100</v>
      </c>
    </row>
    <row r="6" spans="1:7" x14ac:dyDescent="0.3">
      <c r="A6" s="5" t="s">
        <v>44</v>
      </c>
      <c r="B6" s="1">
        <v>461200</v>
      </c>
    </row>
    <row r="7" spans="1:7" x14ac:dyDescent="0.3">
      <c r="A7" s="5" t="s">
        <v>27</v>
      </c>
      <c r="B7" s="1">
        <v>273750</v>
      </c>
    </row>
    <row r="8" spans="1:7" x14ac:dyDescent="0.3">
      <c r="A8" s="5" t="s">
        <v>49</v>
      </c>
      <c r="B8" s="1">
        <v>76600</v>
      </c>
    </row>
    <row r="9" spans="1:7" x14ac:dyDescent="0.3">
      <c r="A9" s="5" t="s">
        <v>154</v>
      </c>
      <c r="B9" s="1">
        <v>2914950</v>
      </c>
    </row>
    <row r="12" spans="1:7" x14ac:dyDescent="0.3">
      <c r="A12" s="4" t="s">
        <v>163</v>
      </c>
      <c r="B12" t="s">
        <v>159</v>
      </c>
    </row>
    <row r="13" spans="1:7" x14ac:dyDescent="0.3">
      <c r="A13" s="5" t="s">
        <v>21</v>
      </c>
      <c r="B13" s="1">
        <v>62050</v>
      </c>
    </row>
    <row r="14" spans="1:7" x14ac:dyDescent="0.3">
      <c r="A14" s="5" t="s">
        <v>15</v>
      </c>
      <c r="B14" s="1">
        <v>268000</v>
      </c>
    </row>
    <row r="15" spans="1:7" x14ac:dyDescent="0.3">
      <c r="A15" s="5" t="s">
        <v>28</v>
      </c>
      <c r="B15" s="1">
        <v>32200</v>
      </c>
    </row>
    <row r="16" spans="1:7" x14ac:dyDescent="0.3">
      <c r="A16" s="5" t="s">
        <v>154</v>
      </c>
      <c r="B16" s="1">
        <v>362250</v>
      </c>
    </row>
    <row r="20" spans="1:2" x14ac:dyDescent="0.3">
      <c r="A20" s="4" t="s">
        <v>5</v>
      </c>
      <c r="B20" t="s">
        <v>160</v>
      </c>
    </row>
    <row r="21" spans="1:2" x14ac:dyDescent="0.3">
      <c r="A21" s="5" t="s">
        <v>36</v>
      </c>
      <c r="B21" s="1">
        <v>674500</v>
      </c>
    </row>
    <row r="22" spans="1:2" x14ac:dyDescent="0.3">
      <c r="A22" s="5" t="s">
        <v>17</v>
      </c>
      <c r="B22" s="1">
        <v>574750</v>
      </c>
    </row>
    <row r="23" spans="1:2" x14ac:dyDescent="0.3">
      <c r="A23" s="5" t="s">
        <v>23</v>
      </c>
      <c r="B23" s="1">
        <v>941600</v>
      </c>
    </row>
    <row r="24" spans="1:2" x14ac:dyDescent="0.3">
      <c r="A24" s="5" t="s">
        <v>30</v>
      </c>
      <c r="B24" s="1">
        <v>724100</v>
      </c>
    </row>
    <row r="25" spans="1:2" x14ac:dyDescent="0.3">
      <c r="A25" s="5" t="s">
        <v>154</v>
      </c>
      <c r="B25" s="1">
        <v>2914950</v>
      </c>
    </row>
    <row r="27" spans="1:2" x14ac:dyDescent="0.3">
      <c r="A27" s="4" t="s">
        <v>164</v>
      </c>
      <c r="B27" t="s">
        <v>161</v>
      </c>
    </row>
    <row r="28" spans="1:2" x14ac:dyDescent="0.3">
      <c r="A28" s="5" t="s">
        <v>157</v>
      </c>
      <c r="B28" s="1">
        <v>2050800</v>
      </c>
    </row>
    <row r="29" spans="1:2" x14ac:dyDescent="0.3">
      <c r="A29" s="5" t="s">
        <v>158</v>
      </c>
      <c r="B29" s="1">
        <v>864150</v>
      </c>
    </row>
    <row r="30" spans="1:2" x14ac:dyDescent="0.3">
      <c r="A30" s="5" t="s">
        <v>154</v>
      </c>
      <c r="B30" s="1">
        <v>2914950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8D26-FC2D-4F33-8474-4E88F7D00AC6}">
  <dimension ref="B1:K2"/>
  <sheetViews>
    <sheetView showGridLines="0" zoomScaleNormal="100" workbookViewId="0">
      <selection activeCell="B2" sqref="B2"/>
    </sheetView>
  </sheetViews>
  <sheetFormatPr defaultRowHeight="14.4" x14ac:dyDescent="0.3"/>
  <cols>
    <col min="2" max="2" width="21.6640625" customWidth="1"/>
    <col min="5" max="5" width="21.6640625" customWidth="1"/>
    <col min="8" max="8" width="21.6640625" customWidth="1"/>
    <col min="11" max="11" width="21.5546875" customWidth="1"/>
  </cols>
  <sheetData>
    <row r="1" spans="2:11" ht="15.6" x14ac:dyDescent="0.3">
      <c r="B1" s="10" t="s">
        <v>167</v>
      </c>
      <c r="E1" s="10" t="s">
        <v>166</v>
      </c>
      <c r="H1" s="10" t="s">
        <v>169</v>
      </c>
      <c r="K1" s="10" t="s">
        <v>170</v>
      </c>
    </row>
    <row r="2" spans="2:11" ht="23.4" x14ac:dyDescent="0.3">
      <c r="B2" s="8">
        <f>GETPIVOTDATA("Revenue",Pivot_Analysis!$A$3)</f>
        <v>2914950</v>
      </c>
      <c r="E2" s="8">
        <f>GETPIVOTDATA("Total Profit",Pivot_Analysis!$D$3)</f>
        <v>362250</v>
      </c>
      <c r="H2" s="9">
        <f>GETPIVOTDATA("Total Units Sold",Pivot_Analysis!$D$3)</f>
        <v>376</v>
      </c>
      <c r="K2" s="8">
        <f>GETPIVOTDATA("Total Revenue",Pivot_Analysis!$D$3)/GETPIVOTDATA("AVERAGE ORDER VALUE",Pivot_Analysis!$D$3)</f>
        <v>72873.75</v>
      </c>
    </row>
  </sheetData>
  <sheetProtection formatCell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FD5F-7BFD-4212-9C9B-F3F1C6D46F9A}">
  <dimension ref="A1:A30"/>
  <sheetViews>
    <sheetView showGridLines="0" showRowColHeaders="0" workbookViewId="0"/>
  </sheetViews>
  <sheetFormatPr defaultRowHeight="14.4" x14ac:dyDescent="0.3"/>
  <cols>
    <col min="1" max="1" width="130.77734375" customWidth="1"/>
  </cols>
  <sheetData>
    <row r="1" spans="1:1" ht="15" customHeight="1" x14ac:dyDescent="0.35">
      <c r="A1" s="14" t="s">
        <v>346</v>
      </c>
    </row>
    <row r="2" spans="1:1" ht="15" customHeight="1" x14ac:dyDescent="0.3"/>
    <row r="3" spans="1:1" ht="15" customHeight="1" x14ac:dyDescent="0.3">
      <c r="A3" s="15" t="s">
        <v>347</v>
      </c>
    </row>
    <row r="4" spans="1:1" ht="15" customHeight="1" x14ac:dyDescent="0.3">
      <c r="A4" s="16"/>
    </row>
    <row r="5" spans="1:1" ht="15" customHeight="1" x14ac:dyDescent="0.3">
      <c r="A5" s="15" t="s">
        <v>348</v>
      </c>
    </row>
    <row r="6" spans="1:1" ht="15" customHeight="1" x14ac:dyDescent="0.3">
      <c r="A6" s="16"/>
    </row>
    <row r="7" spans="1:1" ht="15" customHeight="1" x14ac:dyDescent="0.3">
      <c r="A7" s="15" t="s">
        <v>349</v>
      </c>
    </row>
    <row r="8" spans="1:1" ht="15" customHeight="1" x14ac:dyDescent="0.3">
      <c r="A8" s="16"/>
    </row>
    <row r="9" spans="1:1" ht="15" customHeight="1" x14ac:dyDescent="0.3">
      <c r="A9" s="15" t="s">
        <v>350</v>
      </c>
    </row>
    <row r="10" spans="1:1" ht="15" customHeight="1" x14ac:dyDescent="0.3">
      <c r="A10" s="16"/>
    </row>
    <row r="11" spans="1:1" ht="15" customHeight="1" x14ac:dyDescent="0.3">
      <c r="A11" s="15" t="s">
        <v>351</v>
      </c>
    </row>
    <row r="12" spans="1:1" ht="15" customHeight="1" x14ac:dyDescent="0.3">
      <c r="A12" s="16"/>
    </row>
    <row r="13" spans="1:1" ht="15" customHeight="1" x14ac:dyDescent="0.3">
      <c r="A13" s="15" t="s">
        <v>352</v>
      </c>
    </row>
    <row r="14" spans="1:1" ht="15" customHeight="1" x14ac:dyDescent="0.3">
      <c r="A14" s="16"/>
    </row>
    <row r="15" spans="1:1" ht="15" customHeight="1" x14ac:dyDescent="0.3">
      <c r="A15" s="16" t="s">
        <v>353</v>
      </c>
    </row>
    <row r="16" spans="1:1" ht="15" customHeight="1" x14ac:dyDescent="0.3">
      <c r="A16" s="16"/>
    </row>
    <row r="17" spans="1:1" ht="15" customHeight="1" x14ac:dyDescent="0.3">
      <c r="A17" s="16" t="s">
        <v>354</v>
      </c>
    </row>
    <row r="18" spans="1:1" ht="15" customHeight="1" x14ac:dyDescent="0.3">
      <c r="A18" s="16"/>
    </row>
    <row r="19" spans="1:1" ht="15" customHeight="1" x14ac:dyDescent="0.3">
      <c r="A19" s="16" t="s">
        <v>355</v>
      </c>
    </row>
    <row r="20" spans="1:1" ht="15" customHeight="1" x14ac:dyDescent="0.3">
      <c r="A20" s="16"/>
    </row>
    <row r="21" spans="1:1" ht="15" customHeight="1" x14ac:dyDescent="0.3">
      <c r="A21" s="16" t="s">
        <v>356</v>
      </c>
    </row>
    <row r="22" spans="1:1" ht="15" customHeight="1" x14ac:dyDescent="0.3"/>
    <row r="23" spans="1:1" ht="15" customHeight="1" x14ac:dyDescent="0.3"/>
    <row r="24" spans="1:1" ht="15" customHeight="1" x14ac:dyDescent="0.3"/>
    <row r="25" spans="1:1" ht="15" customHeight="1" x14ac:dyDescent="0.3"/>
    <row r="26" spans="1:1" ht="15" customHeight="1" x14ac:dyDescent="0.3"/>
    <row r="27" spans="1:1" ht="15" customHeight="1" x14ac:dyDescent="0.3"/>
    <row r="28" spans="1:1" ht="15" customHeight="1" x14ac:dyDescent="0.3"/>
    <row r="29" spans="1:1" ht="15" customHeight="1" x14ac:dyDescent="0.3"/>
    <row r="30" spans="1:1" ht="1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Cleaned_Data</vt:lpstr>
      <vt:lpstr>Pivot_Analysis</vt:lpstr>
      <vt:lpstr>Dashboard</vt:lpstr>
      <vt:lpstr>Cleaning_Steps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KUNAL RAJPUT</cp:lastModifiedBy>
  <dcterms:created xsi:type="dcterms:W3CDTF">2026-01-02T08:32:47Z</dcterms:created>
  <dcterms:modified xsi:type="dcterms:W3CDTF">2026-01-30T19:12:34Z</dcterms:modified>
</cp:coreProperties>
</file>